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ower BI\assi\"/>
    </mc:Choice>
  </mc:AlternateContent>
  <xr:revisionPtr revIDLastSave="0" documentId="13_ncr:1_{9FACF281-103E-43EC-97A1-DF2239A38F9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shboard" sheetId="1" r:id="rId1"/>
    <sheet name="Orders" sheetId="2" r:id="rId2"/>
    <sheet name="Customers" sheetId="3" r:id="rId3"/>
    <sheet name="Restaurants" sheetId="4" r:id="rId4"/>
    <sheet name="Analysis" sheetId="5" r:id="rId5"/>
  </sheets>
  <definedNames>
    <definedName name="_xlnm._FilterDatabase" localSheetId="2" hidden="1">Customers!$A$1:$D$26</definedName>
    <definedName name="_xlnm._FilterDatabase" localSheetId="1" hidden="1">Orders!$A$1:$K$301</definedName>
    <definedName name="_xlnm._FilterDatabase" localSheetId="3" hidden="1">Restaurants!$A$1:$F$23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43" i="5" l="1"/>
  <c r="B140" i="5"/>
  <c r="B139" i="5"/>
  <c r="B138" i="5"/>
  <c r="B137" i="5"/>
  <c r="B136" i="5"/>
  <c r="B135" i="5"/>
  <c r="B134" i="5"/>
  <c r="B133" i="5"/>
  <c r="B132" i="5"/>
  <c r="B131" i="5"/>
  <c r="B130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24" i="5"/>
  <c r="A24" i="5"/>
  <c r="C24" i="5" s="1"/>
  <c r="B23" i="5"/>
  <c r="A23" i="5"/>
  <c r="C23" i="5" s="1"/>
  <c r="B22" i="5"/>
  <c r="A22" i="5"/>
  <c r="C22" i="5" s="1"/>
  <c r="B21" i="5"/>
  <c r="A21" i="5"/>
  <c r="C21" i="5" s="1"/>
  <c r="B20" i="5"/>
  <c r="A20" i="5"/>
  <c r="C20" i="5" s="1"/>
  <c r="B19" i="5"/>
  <c r="A19" i="5"/>
  <c r="C19" i="5" s="1"/>
  <c r="C18" i="5"/>
  <c r="B18" i="5"/>
  <c r="A18" i="5"/>
  <c r="C17" i="5"/>
  <c r="B17" i="5"/>
  <c r="A17" i="5"/>
  <c r="B16" i="5"/>
  <c r="A16" i="5"/>
  <c r="C16" i="5" s="1"/>
  <c r="B15" i="5"/>
  <c r="A15" i="5"/>
  <c r="C15" i="5" s="1"/>
  <c r="C14" i="5"/>
  <c r="B14" i="5"/>
  <c r="A14" i="5"/>
  <c r="B13" i="5"/>
  <c r="A13" i="5"/>
  <c r="C13" i="5" s="1"/>
  <c r="B12" i="5"/>
  <c r="A12" i="5"/>
  <c r="C12" i="5" s="1"/>
  <c r="C11" i="5"/>
  <c r="B11" i="5"/>
  <c r="A11" i="5"/>
  <c r="C10" i="5"/>
  <c r="B10" i="5"/>
  <c r="A10" i="5"/>
  <c r="C9" i="5"/>
  <c r="B9" i="5"/>
  <c r="A9" i="5"/>
  <c r="B8" i="5"/>
  <c r="A8" i="5"/>
  <c r="C8" i="5" s="1"/>
  <c r="B7" i="5"/>
  <c r="A7" i="5"/>
  <c r="C7" i="5" s="1"/>
  <c r="C6" i="5"/>
  <c r="B6" i="5"/>
  <c r="A6" i="5"/>
  <c r="B5" i="5"/>
  <c r="A5" i="5"/>
  <c r="C5" i="5" s="1"/>
  <c r="B4" i="5"/>
  <c r="A4" i="5"/>
  <c r="C4" i="5" s="1"/>
  <c r="C3" i="5"/>
  <c r="B3" i="5"/>
  <c r="A3" i="5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B41" i="5" s="1"/>
  <c r="J2" i="2"/>
  <c r="B7" i="1"/>
  <c r="B34" i="5" l="1"/>
  <c r="B27" i="5"/>
  <c r="B35" i="5"/>
  <c r="B28" i="5"/>
  <c r="B36" i="5"/>
  <c r="B29" i="5"/>
  <c r="B37" i="5"/>
  <c r="B30" i="5"/>
  <c r="B38" i="5"/>
  <c r="B31" i="5"/>
  <c r="B39" i="5"/>
  <c r="B32" i="5"/>
  <c r="B40" i="5"/>
  <c r="B33" i="5"/>
</calcChain>
</file>

<file path=xl/sharedStrings.xml><?xml version="1.0" encoding="utf-8"?>
<sst xmlns="http://schemas.openxmlformats.org/spreadsheetml/2006/main" count="2374" uniqueCount="494">
  <si>
    <t>Restaurant Delivery Performance Dashboard</t>
  </si>
  <si>
    <t>Sample data: 300 orders, Jan-Mar 2026, 11 cities, 22 restaurants</t>
  </si>
  <si>
    <t>Delivery Success Rate</t>
  </si>
  <si>
    <t>OrderID</t>
  </si>
  <si>
    <t>City</t>
  </si>
  <si>
    <t>OrderDate</t>
  </si>
  <si>
    <t>DeliveryStatus</t>
  </si>
  <si>
    <t>OrderAmount</t>
  </si>
  <si>
    <t>CustomerName</t>
  </si>
  <si>
    <t>Phone</t>
  </si>
  <si>
    <t>CustomerID</t>
  </si>
  <si>
    <t>RestaurantID</t>
  </si>
  <si>
    <t>RestaurantName</t>
  </si>
  <si>
    <t>Cuisine</t>
  </si>
  <si>
    <t>ORD1020</t>
  </si>
  <si>
    <t>Mumbai</t>
  </si>
  <si>
    <t>Delivered</t>
  </si>
  <si>
    <t>Pooja Iyer</t>
  </si>
  <si>
    <t>9876543221</t>
  </si>
  <si>
    <t>C012</t>
  </si>
  <si>
    <t>R004</t>
  </si>
  <si>
    <t>ORD1134</t>
  </si>
  <si>
    <t>Hyderabad</t>
  </si>
  <si>
    <t>Nikhil Jain</t>
  </si>
  <si>
    <t>9876543224</t>
  </si>
  <si>
    <t>C015</t>
  </si>
  <si>
    <t>R010</t>
  </si>
  <si>
    <t>ORD1137</t>
  </si>
  <si>
    <t>Ahmedabad</t>
  </si>
  <si>
    <t>Sneha Patel</t>
  </si>
  <si>
    <t>9876543215</t>
  </si>
  <si>
    <t>C006</t>
  </si>
  <si>
    <t>R011</t>
  </si>
  <si>
    <t>ORD1256</t>
  </si>
  <si>
    <t>Bangalore</t>
  </si>
  <si>
    <t>Out for Delivery</t>
  </si>
  <si>
    <t>Aman Verma</t>
  </si>
  <si>
    <t>9876543212</t>
  </si>
  <si>
    <t>C003</t>
  </si>
  <si>
    <t>R006</t>
  </si>
  <si>
    <t>ORD1294</t>
  </si>
  <si>
    <t>Arjun Mehta</t>
  </si>
  <si>
    <t>9876543214</t>
  </si>
  <si>
    <t>C005</t>
  </si>
  <si>
    <t>ORD1019</t>
  </si>
  <si>
    <t>Cancelled</t>
  </si>
  <si>
    <t>Priya Singh</t>
  </si>
  <si>
    <t>9876543211</t>
  </si>
  <si>
    <t>C002</t>
  </si>
  <si>
    <t>R003</t>
  </si>
  <si>
    <t>ORD1104</t>
  </si>
  <si>
    <t>Lucknow</t>
  </si>
  <si>
    <t>Harsh Vardhan</t>
  </si>
  <si>
    <t>9876543234</t>
  </si>
  <si>
    <t>C025</t>
  </si>
  <si>
    <t>R019</t>
  </si>
  <si>
    <t>ORD1091</t>
  </si>
  <si>
    <t>Kochi</t>
  </si>
  <si>
    <t>Kavya Nair</t>
  </si>
  <si>
    <t>9876543217</t>
  </si>
  <si>
    <t>C008</t>
  </si>
  <si>
    <t>R016</t>
  </si>
  <si>
    <t>ORD1129</t>
  </si>
  <si>
    <t>Pune</t>
  </si>
  <si>
    <t>Pending</t>
  </si>
  <si>
    <t>Simran Kaur</t>
  </si>
  <si>
    <t>9876543223</t>
  </si>
  <si>
    <t>C014</t>
  </si>
  <si>
    <t>R007</t>
  </si>
  <si>
    <t>ORD1274</t>
  </si>
  <si>
    <t>Chennai</t>
  </si>
  <si>
    <t>Divya Menon</t>
  </si>
  <si>
    <t>9876543225</t>
  </si>
  <si>
    <t>C016</t>
  </si>
  <si>
    <t>R014</t>
  </si>
  <si>
    <t>ORD1096</t>
  </si>
  <si>
    <t>Kolkata</t>
  </si>
  <si>
    <t>Sahil Khan</t>
  </si>
  <si>
    <t>9876543226</t>
  </si>
  <si>
    <t>C017</t>
  </si>
  <si>
    <t>R021</t>
  </si>
  <si>
    <t>ORD1145</t>
  </si>
  <si>
    <t>Neha Gupta</t>
  </si>
  <si>
    <t>9876543213</t>
  </si>
  <si>
    <t>C004</t>
  </si>
  <si>
    <t>R008</t>
  </si>
  <si>
    <t>ORD1154</t>
  </si>
  <si>
    <t>Riya Kapoor</t>
  </si>
  <si>
    <t>9876543231</t>
  </si>
  <si>
    <t>C022</t>
  </si>
  <si>
    <t>ORD1178</t>
  </si>
  <si>
    <t>Jaipur</t>
  </si>
  <si>
    <t>Rohan Kapoor</t>
  </si>
  <si>
    <t>9876543218</t>
  </si>
  <si>
    <t>C009</t>
  </si>
  <si>
    <t>R018</t>
  </si>
  <si>
    <t>ORD1249</t>
  </si>
  <si>
    <t>ORD1281</t>
  </si>
  <si>
    <t>R009</t>
  </si>
  <si>
    <t>ORD1075</t>
  </si>
  <si>
    <t>Yash Thakur</t>
  </si>
  <si>
    <t>9876543232</t>
  </si>
  <si>
    <t>C023</t>
  </si>
  <si>
    <t>R005</t>
  </si>
  <si>
    <t>ORD1179</t>
  </si>
  <si>
    <t>Mohit Agarwal</t>
  </si>
  <si>
    <t>9876543222</t>
  </si>
  <si>
    <t>C013</t>
  </si>
  <si>
    <t>ORD1196</t>
  </si>
  <si>
    <t>ORD1076</t>
  </si>
  <si>
    <t>ORD1121</t>
  </si>
  <si>
    <t>Vikram Rao</t>
  </si>
  <si>
    <t>9876543216</t>
  </si>
  <si>
    <t>C007</t>
  </si>
  <si>
    <t>R013</t>
  </si>
  <si>
    <t>ORD1158</t>
  </si>
  <si>
    <t>ORD1209</t>
  </si>
  <si>
    <t>Ishita Das</t>
  </si>
  <si>
    <t>9876543227</t>
  </si>
  <si>
    <t>C018</t>
  </si>
  <si>
    <t>ORD1143</t>
  </si>
  <si>
    <t>Delhi</t>
  </si>
  <si>
    <t>Karan Malhotra</t>
  </si>
  <si>
    <t>9876543220</t>
  </si>
  <si>
    <t>C011</t>
  </si>
  <si>
    <t>R002</t>
  </si>
  <si>
    <t>ORD1024</t>
  </si>
  <si>
    <t>ORD1073</t>
  </si>
  <si>
    <t>ORD1116</t>
  </si>
  <si>
    <t>ORD1210</t>
  </si>
  <si>
    <t>R017</t>
  </si>
  <si>
    <t>ORD1212</t>
  </si>
  <si>
    <t>ORD1247</t>
  </si>
  <si>
    <t>ORD1060</t>
  </si>
  <si>
    <t>Anjali Joshi</t>
  </si>
  <si>
    <t>9876543219</t>
  </si>
  <si>
    <t>C010</t>
  </si>
  <si>
    <t>R020</t>
  </si>
  <si>
    <t>ORD1100</t>
  </si>
  <si>
    <t>R022</t>
  </si>
  <si>
    <t>ORD1108</t>
  </si>
  <si>
    <t>ORD1171</t>
  </si>
  <si>
    <t>ORD1180</t>
  </si>
  <si>
    <t>Rahul Sharma</t>
  </si>
  <si>
    <t>9876543210</t>
  </si>
  <si>
    <t>C001</t>
  </si>
  <si>
    <t>R001</t>
  </si>
  <si>
    <t>ORD1185</t>
  </si>
  <si>
    <t>ORD1006</t>
  </si>
  <si>
    <t>ORD1153</t>
  </si>
  <si>
    <t>Tanya Sethi</t>
  </si>
  <si>
    <t>9876543233</t>
  </si>
  <si>
    <t>C024</t>
  </si>
  <si>
    <t>ORD1011</t>
  </si>
  <si>
    <t>R015</t>
  </si>
  <si>
    <t>ORD1139</t>
  </si>
  <si>
    <t>Varun Bansal</t>
  </si>
  <si>
    <t>9876543228</t>
  </si>
  <si>
    <t>C019</t>
  </si>
  <si>
    <t>ORD1261</t>
  </si>
  <si>
    <t>ORD1002</t>
  </si>
  <si>
    <t>ORD1025</t>
  </si>
  <si>
    <t>ORD1038</t>
  </si>
  <si>
    <t>ORD1195</t>
  </si>
  <si>
    <t>ORD1288</t>
  </si>
  <si>
    <t>ORD1217</t>
  </si>
  <si>
    <t>ORD1021</t>
  </si>
  <si>
    <t>ORD1131</t>
  </si>
  <si>
    <t>Meera Shah</t>
  </si>
  <si>
    <t>9876543229</t>
  </si>
  <si>
    <t>C020</t>
  </si>
  <si>
    <t>R012</t>
  </si>
  <si>
    <t>ORD1138</t>
  </si>
  <si>
    <t>Aditya Roy</t>
  </si>
  <si>
    <t>9876543230</t>
  </si>
  <si>
    <t>C021</t>
  </si>
  <si>
    <t>ORD1266</t>
  </si>
  <si>
    <t>ORD1127</t>
  </si>
  <si>
    <t>ORD1001</t>
  </si>
  <si>
    <t>ORD1027</t>
  </si>
  <si>
    <t>ORD1061</t>
  </si>
  <si>
    <t>ORD1093</t>
  </si>
  <si>
    <t>ORD1194</t>
  </si>
  <si>
    <t>ORD1233</t>
  </si>
  <si>
    <t>ORD1244</t>
  </si>
  <si>
    <t>ORD1086</t>
  </si>
  <si>
    <t>ORD1112</t>
  </si>
  <si>
    <t>ORD1296</t>
  </si>
  <si>
    <t>ORD1008</t>
  </si>
  <si>
    <t>ORD1033</t>
  </si>
  <si>
    <t>ORD1043</t>
  </si>
  <si>
    <t>ORD1125</t>
  </si>
  <si>
    <t>ORD1231</t>
  </si>
  <si>
    <t>ORD1240</t>
  </si>
  <si>
    <t>ORD1265</t>
  </si>
  <si>
    <t>ORD1041</t>
  </si>
  <si>
    <t>ORD1088</t>
  </si>
  <si>
    <t>ORD1232</t>
  </si>
  <si>
    <t>ORD1241</t>
  </si>
  <si>
    <t>ORD1064</t>
  </si>
  <si>
    <t>ORD1115</t>
  </si>
  <si>
    <t>ORD1146</t>
  </si>
  <si>
    <t>ORD1175</t>
  </si>
  <si>
    <t>ORD1031</t>
  </si>
  <si>
    <t>ORD1109</t>
  </si>
  <si>
    <t>ORD1148</t>
  </si>
  <si>
    <t>ORD1182</t>
  </si>
  <si>
    <t>ORD1018</t>
  </si>
  <si>
    <t>ORD1082</t>
  </si>
  <si>
    <t>ORD1165</t>
  </si>
  <si>
    <t>ORD1224</t>
  </si>
  <si>
    <t>ORD1237</t>
  </si>
  <si>
    <t>ORD1054</t>
  </si>
  <si>
    <t>ORD1080</t>
  </si>
  <si>
    <t>ORD1135</t>
  </si>
  <si>
    <t>ORD1160</t>
  </si>
  <si>
    <t>ORD1177</t>
  </si>
  <si>
    <t>ORD1268</t>
  </si>
  <si>
    <t>ORD1047</t>
  </si>
  <si>
    <t>ORD1144</t>
  </si>
  <si>
    <t>ORD1183</t>
  </si>
  <si>
    <t>ORD1218</t>
  </si>
  <si>
    <t>ORD1286</t>
  </si>
  <si>
    <t>ORD1299</t>
  </si>
  <si>
    <t>ORD1048</t>
  </si>
  <si>
    <t>ORD1090</t>
  </si>
  <si>
    <t>ORD1140</t>
  </si>
  <si>
    <t>ORD1068</t>
  </si>
  <si>
    <t>ORD1072</t>
  </si>
  <si>
    <t>ORD1130</t>
  </si>
  <si>
    <t>ORD1132</t>
  </si>
  <si>
    <t>ORD1267</t>
  </si>
  <si>
    <t>ORD1293</t>
  </si>
  <si>
    <t>ORD1007</t>
  </si>
  <si>
    <t>ORD1071</t>
  </si>
  <si>
    <t>ORD1176</t>
  </si>
  <si>
    <t>ORD1252</t>
  </si>
  <si>
    <t>ORD1253</t>
  </si>
  <si>
    <t>ORD1272</t>
  </si>
  <si>
    <t>ORD1174</t>
  </si>
  <si>
    <t>ORD1239</t>
  </si>
  <si>
    <t>ORD1113</t>
  </si>
  <si>
    <t>ORD1164</t>
  </si>
  <si>
    <t>ORD1107</t>
  </si>
  <si>
    <t>ORD1133</t>
  </si>
  <si>
    <t>ORD1203</t>
  </si>
  <si>
    <t>ORD1221</t>
  </si>
  <si>
    <t>ORD1215</t>
  </si>
  <si>
    <t>ORD1251</t>
  </si>
  <si>
    <t>ORD1159</t>
  </si>
  <si>
    <t>ORD1168</t>
  </si>
  <si>
    <t>ORD1184</t>
  </si>
  <si>
    <t>ORD1269</t>
  </si>
  <si>
    <t>ORD1065</t>
  </si>
  <si>
    <t>ORD1066</t>
  </si>
  <si>
    <t>ORD1103</t>
  </si>
  <si>
    <t>ORD1114</t>
  </si>
  <si>
    <t>ORD1163</t>
  </si>
  <si>
    <t>ORD1078</t>
  </si>
  <si>
    <t>ORD1083</t>
  </si>
  <si>
    <t>ORD1156</t>
  </si>
  <si>
    <t>ORD1245</t>
  </si>
  <si>
    <t>ORD1264</t>
  </si>
  <si>
    <t>ORD1014</t>
  </si>
  <si>
    <t>ORD1200</t>
  </si>
  <si>
    <t>ORD1005</t>
  </si>
  <si>
    <t>ORD1110</t>
  </si>
  <si>
    <t>ORD1207</t>
  </si>
  <si>
    <t>ORD1262</t>
  </si>
  <si>
    <t>ORD1157</t>
  </si>
  <si>
    <t>ORD1219</t>
  </si>
  <si>
    <t>ORD1023</t>
  </si>
  <si>
    <t>ORD1059</t>
  </si>
  <si>
    <t>ORD1062</t>
  </si>
  <si>
    <t>ORD1152</t>
  </si>
  <si>
    <t>ORD1169</t>
  </si>
  <si>
    <t>ORD1190</t>
  </si>
  <si>
    <t>ORD1229</t>
  </si>
  <si>
    <t>ORD1273</t>
  </si>
  <si>
    <t>ORD1124</t>
  </si>
  <si>
    <t>ORD1186</t>
  </si>
  <si>
    <t>ORD1226</t>
  </si>
  <si>
    <t>ORD1284</t>
  </si>
  <si>
    <t>ORD1189</t>
  </si>
  <si>
    <t>ORD1223</t>
  </si>
  <si>
    <t>ORD1278</t>
  </si>
  <si>
    <t>ORD1287</t>
  </si>
  <si>
    <t>ORD1069</t>
  </si>
  <si>
    <t>ORD1117</t>
  </si>
  <si>
    <t>ORD1191</t>
  </si>
  <si>
    <t>ORD1279</t>
  </si>
  <si>
    <t>ORD1017</t>
  </si>
  <si>
    <t>ORD1084</t>
  </si>
  <si>
    <t>ORD1119</t>
  </si>
  <si>
    <t>ORD1166</t>
  </si>
  <si>
    <t>ORD1155</t>
  </si>
  <si>
    <t>ORD1220</t>
  </si>
  <si>
    <t>ORD1057</t>
  </si>
  <si>
    <t>ORD1097</t>
  </si>
  <si>
    <t>ORD1228</t>
  </si>
  <si>
    <t>ORD1042</t>
  </si>
  <si>
    <t>ORD1049</t>
  </si>
  <si>
    <t>ORD1106</t>
  </si>
  <si>
    <t>ORD1141</t>
  </si>
  <si>
    <t>ORD1161</t>
  </si>
  <si>
    <t>ORD1289</t>
  </si>
  <si>
    <t>ORD1028</t>
  </si>
  <si>
    <t>ORD1036</t>
  </si>
  <si>
    <t>ORD1052</t>
  </si>
  <si>
    <t>ORD1123</t>
  </si>
  <si>
    <t>ORD1205</t>
  </si>
  <si>
    <t>ORD1206</t>
  </si>
  <si>
    <t>ORD1242</t>
  </si>
  <si>
    <t>ORD1290</t>
  </si>
  <si>
    <t>ORD1029</t>
  </si>
  <si>
    <t>ORD1170</t>
  </si>
  <si>
    <t>ORD1250</t>
  </si>
  <si>
    <t>ORD1295</t>
  </si>
  <si>
    <t>ORD1098</t>
  </si>
  <si>
    <t>ORD1122</t>
  </si>
  <si>
    <t>ORD1211</t>
  </si>
  <si>
    <t>ORD1257</t>
  </si>
  <si>
    <t>ORD1260</t>
  </si>
  <si>
    <t>ORD1016</t>
  </si>
  <si>
    <t>ORD1101</t>
  </si>
  <si>
    <t>ORD1147</t>
  </si>
  <si>
    <t>ORD1172</t>
  </si>
  <si>
    <t>ORD1089</t>
  </si>
  <si>
    <t>ORD1204</t>
  </si>
  <si>
    <t>ORD1214</t>
  </si>
  <si>
    <t>ORD1234</t>
  </si>
  <si>
    <t>ORD1258</t>
  </si>
  <si>
    <t>ORD1285</t>
  </si>
  <si>
    <t>ORD1035</t>
  </si>
  <si>
    <t>ORD1046</t>
  </si>
  <si>
    <t>ORD1142</t>
  </si>
  <si>
    <t>ORD1254</t>
  </si>
  <si>
    <t>ORD1282</t>
  </si>
  <si>
    <t>ORD1050</t>
  </si>
  <si>
    <t>ORD1070</t>
  </si>
  <si>
    <t>ORD1077</t>
  </si>
  <si>
    <t>ORD1081</t>
  </si>
  <si>
    <t>ORD1003</t>
  </si>
  <si>
    <t>ORD1045</t>
  </si>
  <si>
    <t>ORD1074</t>
  </si>
  <si>
    <t>ORD1087</t>
  </si>
  <si>
    <t>ORD1126</t>
  </si>
  <si>
    <t>ORD1055</t>
  </si>
  <si>
    <t>ORD1058</t>
  </si>
  <si>
    <t>ORD1128</t>
  </si>
  <si>
    <t>ORD1201</t>
  </si>
  <si>
    <t>ORD1199</t>
  </si>
  <si>
    <t>ORD1225</t>
  </si>
  <si>
    <t>ORD1243</t>
  </si>
  <si>
    <t>ORD1085</t>
  </si>
  <si>
    <t>ORD1150</t>
  </si>
  <si>
    <t>ORD1151</t>
  </si>
  <si>
    <t>ORD1202</t>
  </si>
  <si>
    <t>ORD1230</t>
  </si>
  <si>
    <t>ORD1051</t>
  </si>
  <si>
    <t>ORD1026</t>
  </si>
  <si>
    <t>ORD1034</t>
  </si>
  <si>
    <t>ORD1044</t>
  </si>
  <si>
    <t>ORD1056</t>
  </si>
  <si>
    <t>ORD1102</t>
  </si>
  <si>
    <t>ORD1149</t>
  </si>
  <si>
    <t>ORD1213</t>
  </si>
  <si>
    <t>ORD1039</t>
  </si>
  <si>
    <t>ORD1173</t>
  </si>
  <si>
    <t>ORD1198</t>
  </si>
  <si>
    <t>ORD1227</t>
  </si>
  <si>
    <t>ORD1263</t>
  </si>
  <si>
    <t>ORD1208</t>
  </si>
  <si>
    <t>ORD1216</t>
  </si>
  <si>
    <t>ORD1032</t>
  </si>
  <si>
    <t>ORD1193</t>
  </si>
  <si>
    <t>ORD1277</t>
  </si>
  <si>
    <t>ORD1040</t>
  </si>
  <si>
    <t>ORD1092</t>
  </si>
  <si>
    <t>ORD1099</t>
  </si>
  <si>
    <t>ORD1118</t>
  </si>
  <si>
    <t>ORD1187</t>
  </si>
  <si>
    <t>ORD1270</t>
  </si>
  <si>
    <t>ORD1280</t>
  </si>
  <si>
    <t>ORD1298</t>
  </si>
  <si>
    <t>ORD1009</t>
  </si>
  <si>
    <t>ORD1188</t>
  </si>
  <si>
    <t>ORD1276</t>
  </si>
  <si>
    <t>ORD1291</t>
  </si>
  <si>
    <t>ORD1004</t>
  </si>
  <si>
    <t>ORD1053</t>
  </si>
  <si>
    <t>ORD1095</t>
  </si>
  <si>
    <t>ORD1010</t>
  </si>
  <si>
    <t>ORD1105</t>
  </si>
  <si>
    <t>ORD1246</t>
  </si>
  <si>
    <t>ORD1259</t>
  </si>
  <si>
    <t>ORD1063</t>
  </si>
  <si>
    <t>ORD1111</t>
  </si>
  <si>
    <t>ORD1197</t>
  </si>
  <si>
    <t>ORD1238</t>
  </si>
  <si>
    <t>ORD1255</t>
  </si>
  <si>
    <t>ORD1013</t>
  </si>
  <si>
    <t>ORD1037</t>
  </si>
  <si>
    <t>ORD1094</t>
  </si>
  <si>
    <t>ORD1136</t>
  </si>
  <si>
    <t>ORD1235</t>
  </si>
  <si>
    <t>ORD1283</t>
  </si>
  <si>
    <t>ORD1012</t>
  </si>
  <si>
    <t>ORD1079</t>
  </si>
  <si>
    <t>ORD1271</t>
  </si>
  <si>
    <t>ORD1030</t>
  </si>
  <si>
    <t>ORD1236</t>
  </si>
  <si>
    <t>ORD1275</t>
  </si>
  <si>
    <t>ORD1162</t>
  </si>
  <si>
    <t>ORD1222</t>
  </si>
  <si>
    <t>ORD1248</t>
  </si>
  <si>
    <t>ORD1120</t>
  </si>
  <si>
    <t>ORD1292</t>
  </si>
  <si>
    <t>ORD1015</t>
  </si>
  <si>
    <t>ORD1181</t>
  </si>
  <si>
    <t>ORD1192</t>
  </si>
  <si>
    <t>ORD1300</t>
  </si>
  <si>
    <t>ORD1022</t>
  </si>
  <si>
    <t>ORD1067</t>
  </si>
  <si>
    <t>ORD1297</t>
  </si>
  <si>
    <t>ORD1167</t>
  </si>
  <si>
    <t>Rating</t>
  </si>
  <si>
    <t>ContactNumber</t>
  </si>
  <si>
    <t>Delhi Darbar</t>
  </si>
  <si>
    <t>North Indian</t>
  </si>
  <si>
    <t>9876540001</t>
  </si>
  <si>
    <t>Karim's Kitchen</t>
  </si>
  <si>
    <t>Mughlai</t>
  </si>
  <si>
    <t>9876540002</t>
  </si>
  <si>
    <t>Bombay Bites</t>
  </si>
  <si>
    <t>Street Food</t>
  </si>
  <si>
    <t>9876540003</t>
  </si>
  <si>
    <t>Sea Breeze Grill</t>
  </si>
  <si>
    <t>Seafood</t>
  </si>
  <si>
    <t>9876540004</t>
  </si>
  <si>
    <t>Namma Bangalore Cafe</t>
  </si>
  <si>
    <t>South Indian</t>
  </si>
  <si>
    <t>9876540005</t>
  </si>
  <si>
    <t>Silicon Spice</t>
  </si>
  <si>
    <t>Multi-Cuisine</t>
  </si>
  <si>
    <t>9876540006</t>
  </si>
  <si>
    <t>Puneri Misal House</t>
  </si>
  <si>
    <t>Maharashtrian</t>
  </si>
  <si>
    <t>9876540007</t>
  </si>
  <si>
    <t>Deccan Diner</t>
  </si>
  <si>
    <t>Continental</t>
  </si>
  <si>
    <t>9876540008</t>
  </si>
  <si>
    <t>Hyderabadi Biryani House</t>
  </si>
  <si>
    <t>Biryani</t>
  </si>
  <si>
    <t>9876540009</t>
  </si>
  <si>
    <t>Nizam's Table</t>
  </si>
  <si>
    <t>9876540010</t>
  </si>
  <si>
    <t>Gujarat Thali Home</t>
  </si>
  <si>
    <t>Gujarati</t>
  </si>
  <si>
    <t>9876540011</t>
  </si>
  <si>
    <t>Manek Chowk Bites</t>
  </si>
  <si>
    <t>9876540012</t>
  </si>
  <si>
    <t>Marina Meals</t>
  </si>
  <si>
    <t>9876540013</t>
  </si>
  <si>
    <t>Chettinad Corner</t>
  </si>
  <si>
    <t>Chettinad</t>
  </si>
  <si>
    <t>9876540014</t>
  </si>
  <si>
    <t>Kerala Backwater Kitchen</t>
  </si>
  <si>
    <t>Kerala</t>
  </si>
  <si>
    <t>9876540015</t>
  </si>
  <si>
    <t>Fort Kochi Seafoods</t>
  </si>
  <si>
    <t>9876540016</t>
  </si>
  <si>
    <t>Pink City Rasoi</t>
  </si>
  <si>
    <t>Rajasthani</t>
  </si>
  <si>
    <t>9876540017</t>
  </si>
  <si>
    <t>Royal Thali Palace</t>
  </si>
  <si>
    <t>9876540018</t>
  </si>
  <si>
    <t>Tunday Kababi Corner</t>
  </si>
  <si>
    <t>Awadhi</t>
  </si>
  <si>
    <t>9876540019</t>
  </si>
  <si>
    <t>Nawabi Nights</t>
  </si>
  <si>
    <t>9876540020</t>
  </si>
  <si>
    <t>Bong Bhoj</t>
  </si>
  <si>
    <t>Bengali</t>
  </si>
  <si>
    <t>9876540021</t>
  </si>
  <si>
    <t>Park Street Diner</t>
  </si>
  <si>
    <t>9876540022</t>
  </si>
  <si>
    <t>Total Revenue by Restaurant (Delivered orders)</t>
  </si>
  <si>
    <t>TotalRevenue</t>
  </si>
  <si>
    <t>Total Revenue by Cuisine (Delivered orders)</t>
  </si>
  <si>
    <t>Daily Order Volume Trend</t>
  </si>
  <si>
    <t>OrderCount</t>
  </si>
  <si>
    <t>Order Count by City (Density)</t>
  </si>
  <si>
    <t>Delivery Success Rate (Delivered / All Orders)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</si>
</sst>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 mmm\ yyyy"/>
    <numFmt numFmtId="166" formatCode="dd\ mmm"/>
  </numFmts>
  <fonts count="8" x14ac:knownFonts="1">
    <font>
      <sz val="11"/>
      <color theme="1"/>
      <name val="Calibri"/>
      <family val="2"/>
      <charset val="1"/>
    </font>
    <font>
      <b/>
      <sz val="16"/>
      <color rgb="FF203864"/>
      <name val="Arial"/>
      <charset val="1"/>
    </font>
    <font>
      <i/>
      <sz val="10"/>
      <color rgb="FF808080"/>
      <name val="Arial"/>
      <charset val="1"/>
    </font>
    <font>
      <b/>
      <sz val="12"/>
      <name val="Arial"/>
      <charset val="1"/>
    </font>
    <font>
      <b/>
      <sz val="28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99CC00"/>
      </patternFill>
    </fill>
    <fill>
      <patternFill patternType="solid">
        <fgColor rgb="FF4472C4"/>
        <bgColor rgb="FF4C7D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4" fillId="2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5" fillId="3" borderId="0" xfId="0" applyFont="1" applyFill="1" applyAlignment="1">
      <alignment horizontal="center"/>
    </xf>
    <xf numFmtId="0" fontId="6" fillId="0" borderId="0" xfId="0" applyFont="1" applyAlignment="1"/>
    <xf numFmtId="165" fontId="6" fillId="0" borderId="0" xfId="0" applyNumberFormat="1" applyFont="1" applyAlignment="1"/>
    <xf numFmtId="4" fontId="6" fillId="0" borderId="0" xfId="0" applyNumberFormat="1" applyFont="1" applyAlignment="1"/>
    <xf numFmtId="0" fontId="7" fillId="0" borderId="0" xfId="0" applyFont="1"/>
    <xf numFmtId="0" fontId="6" fillId="0" borderId="0" xfId="0" applyFont="1"/>
    <xf numFmtId="4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C7DB7"/>
      <rgbColor rgb="FF70AD47"/>
      <rgbColor rgb="FF203864"/>
      <rgbColor rgb="FF4F81BD"/>
      <rgbColor rgb="FF003300"/>
      <rgbColor rgb="FF333300"/>
      <rgbColor rgb="FF993300"/>
      <rgbColor rgb="FF993366"/>
      <rgbColor rgb="FF3A6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Restaurant (Delivered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Analysis!$B$3:$B$24</c:f>
              <c:strCache>
                <c:ptCount val="22"/>
                <c:pt idx="0">
                  <c:v>Delhi Darbar</c:v>
                </c:pt>
                <c:pt idx="1">
                  <c:v>Karim's Kitchen</c:v>
                </c:pt>
                <c:pt idx="2">
                  <c:v>Bombay Bites</c:v>
                </c:pt>
                <c:pt idx="3">
                  <c:v>Sea Breeze Grill</c:v>
                </c:pt>
                <c:pt idx="4">
                  <c:v>Namma Bangalore Cafe</c:v>
                </c:pt>
                <c:pt idx="5">
                  <c:v>Silicon Spice</c:v>
                </c:pt>
                <c:pt idx="6">
                  <c:v>Puneri Misal House</c:v>
                </c:pt>
                <c:pt idx="7">
                  <c:v>Deccan Diner</c:v>
                </c:pt>
                <c:pt idx="8">
                  <c:v>Hyderabadi Biryani House</c:v>
                </c:pt>
                <c:pt idx="9">
                  <c:v>Nizam's Table</c:v>
                </c:pt>
                <c:pt idx="10">
                  <c:v>Gujarat Thali Home</c:v>
                </c:pt>
                <c:pt idx="11">
                  <c:v>Manek Chowk Bites</c:v>
                </c:pt>
                <c:pt idx="12">
                  <c:v>Marina Meals</c:v>
                </c:pt>
                <c:pt idx="13">
                  <c:v>Chettinad Corner</c:v>
                </c:pt>
                <c:pt idx="14">
                  <c:v>Kerala Backwater Kitchen</c:v>
                </c:pt>
                <c:pt idx="15">
                  <c:v>Fort Kochi Seafoods</c:v>
                </c:pt>
                <c:pt idx="16">
                  <c:v>Pink City Rasoi</c:v>
                </c:pt>
                <c:pt idx="17">
                  <c:v>Royal Thali Palace</c:v>
                </c:pt>
                <c:pt idx="18">
                  <c:v>Tunday Kababi Corner</c:v>
                </c:pt>
                <c:pt idx="19">
                  <c:v>Nawabi Nights</c:v>
                </c:pt>
                <c:pt idx="20">
                  <c:v>Bong Bhoj</c:v>
                </c:pt>
                <c:pt idx="21">
                  <c:v>Park Street Diner</c:v>
                </c:pt>
              </c:strCache>
            </c:strRef>
          </c:cat>
          <c:val>
            <c:numRef>
              <c:f>Analysis!$C$3:$C$24</c:f>
              <c:numCache>
                <c:formatCode>#,##0.00</c:formatCode>
                <c:ptCount val="22"/>
                <c:pt idx="0">
                  <c:v>12567.689999999999</c:v>
                </c:pt>
                <c:pt idx="1">
                  <c:v>13570</c:v>
                </c:pt>
                <c:pt idx="2">
                  <c:v>18514.89</c:v>
                </c:pt>
                <c:pt idx="3">
                  <c:v>12520.899999999998</c:v>
                </c:pt>
                <c:pt idx="4">
                  <c:v>5720.3</c:v>
                </c:pt>
                <c:pt idx="5">
                  <c:v>7635.869999999999</c:v>
                </c:pt>
                <c:pt idx="6">
                  <c:v>5039.07</c:v>
                </c:pt>
                <c:pt idx="7">
                  <c:v>7012.13</c:v>
                </c:pt>
                <c:pt idx="8">
                  <c:v>3801.37</c:v>
                </c:pt>
                <c:pt idx="9">
                  <c:v>5962.1399999999994</c:v>
                </c:pt>
                <c:pt idx="10">
                  <c:v>7884.63</c:v>
                </c:pt>
                <c:pt idx="11">
                  <c:v>4395.75</c:v>
                </c:pt>
                <c:pt idx="12">
                  <c:v>4897.1900000000005</c:v>
                </c:pt>
                <c:pt idx="13">
                  <c:v>5804.1200000000008</c:v>
                </c:pt>
                <c:pt idx="14">
                  <c:v>4698.3999999999996</c:v>
                </c:pt>
                <c:pt idx="15">
                  <c:v>4468.33</c:v>
                </c:pt>
                <c:pt idx="16">
                  <c:v>5851.4500000000007</c:v>
                </c:pt>
                <c:pt idx="17">
                  <c:v>4639.46</c:v>
                </c:pt>
                <c:pt idx="18">
                  <c:v>3122.1200000000003</c:v>
                </c:pt>
                <c:pt idx="19">
                  <c:v>4657.28</c:v>
                </c:pt>
                <c:pt idx="20">
                  <c:v>7180.4699999999993</c:v>
                </c:pt>
                <c:pt idx="21">
                  <c:v>2369.21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1-4BDE-B23F-97A335FF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78315"/>
        <c:axId val="48902873"/>
      </c:barChart>
      <c:catAx>
        <c:axId val="434783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Restaurant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02873"/>
        <c:crosses val="autoZero"/>
        <c:auto val="1"/>
        <c:lblAlgn val="ctr"/>
        <c:lblOffset val="100"/>
        <c:noMultiLvlLbl val="0"/>
      </c:catAx>
      <c:valAx>
        <c:axId val="48902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78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Revenue by Cuisine (Delivered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Analysis!$A$27:$A$41</c:f>
              <c:strCache>
                <c:ptCount val="15"/>
                <c:pt idx="0">
                  <c:v>North Indian</c:v>
                </c:pt>
                <c:pt idx="1">
                  <c:v>Mughlai</c:v>
                </c:pt>
                <c:pt idx="2">
                  <c:v>Street Food</c:v>
                </c:pt>
                <c:pt idx="3">
                  <c:v>Seafood</c:v>
                </c:pt>
                <c:pt idx="4">
                  <c:v>South Indian</c:v>
                </c:pt>
                <c:pt idx="5">
                  <c:v>Multi-Cuisine</c:v>
                </c:pt>
                <c:pt idx="6">
                  <c:v>Maharashtrian</c:v>
                </c:pt>
                <c:pt idx="7">
                  <c:v>Continental</c:v>
                </c:pt>
                <c:pt idx="8">
                  <c:v>Biryani</c:v>
                </c:pt>
                <c:pt idx="9">
                  <c:v>Gujarati</c:v>
                </c:pt>
                <c:pt idx="10">
                  <c:v>Chettinad</c:v>
                </c:pt>
                <c:pt idx="11">
                  <c:v>Kerala</c:v>
                </c:pt>
                <c:pt idx="12">
                  <c:v>Rajasthani</c:v>
                </c:pt>
                <c:pt idx="13">
                  <c:v>Awadhi</c:v>
                </c:pt>
                <c:pt idx="14">
                  <c:v>Bengali</c:v>
                </c:pt>
              </c:strCache>
            </c:strRef>
          </c:cat>
          <c:val>
            <c:numRef>
              <c:f>Analysis!$B$27:$B$41</c:f>
              <c:numCache>
                <c:formatCode>#,##0.00</c:formatCode>
                <c:ptCount val="15"/>
                <c:pt idx="0">
                  <c:v>12567.689999999999</c:v>
                </c:pt>
                <c:pt idx="1">
                  <c:v>24189.419999999995</c:v>
                </c:pt>
                <c:pt idx="2">
                  <c:v>22910.639999999996</c:v>
                </c:pt>
                <c:pt idx="3">
                  <c:v>16989.23</c:v>
                </c:pt>
                <c:pt idx="4">
                  <c:v>10617.489999999998</c:v>
                </c:pt>
                <c:pt idx="5">
                  <c:v>7635.869999999999</c:v>
                </c:pt>
                <c:pt idx="6">
                  <c:v>5039.07</c:v>
                </c:pt>
                <c:pt idx="7">
                  <c:v>9381.34</c:v>
                </c:pt>
                <c:pt idx="8">
                  <c:v>3801.37</c:v>
                </c:pt>
                <c:pt idx="9">
                  <c:v>7884.63</c:v>
                </c:pt>
                <c:pt idx="10">
                  <c:v>5804.1200000000008</c:v>
                </c:pt>
                <c:pt idx="11">
                  <c:v>4698.3999999999996</c:v>
                </c:pt>
                <c:pt idx="12">
                  <c:v>10490.91</c:v>
                </c:pt>
                <c:pt idx="13">
                  <c:v>3122.1200000000003</c:v>
                </c:pt>
                <c:pt idx="14">
                  <c:v>7180.4699999999993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3-44A4-86FB-A45FD8D68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4664"/>
        <c:axId val="70692951"/>
      </c:barChart>
      <c:catAx>
        <c:axId val="21084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Cuisine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692951"/>
        <c:crosses val="autoZero"/>
        <c:auto val="1"/>
        <c:lblAlgn val="ctr"/>
        <c:lblOffset val="100"/>
        <c:noMultiLvlLbl val="0"/>
      </c:catAx>
      <c:valAx>
        <c:axId val="706929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84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Order Volume Trend (Jan-Mar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Analysis!$B$43</c:f>
              <c:strCache>
                <c:ptCount val="1"/>
                <c:pt idx="0">
                  <c:v>OrderCount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Analysis!$A$44:$A$127</c:f>
              <c:numCache>
                <c:formatCode>dd\ mmm</c:formatCode>
                <c:ptCount val="8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46044</c:v>
                </c:pt>
                <c:pt idx="21">
                  <c:v>46045</c:v>
                </c:pt>
                <c:pt idx="22">
                  <c:v>46046</c:v>
                </c:pt>
                <c:pt idx="23">
                  <c:v>46047</c:v>
                </c:pt>
                <c:pt idx="24">
                  <c:v>46048</c:v>
                </c:pt>
                <c:pt idx="25">
                  <c:v>46050</c:v>
                </c:pt>
                <c:pt idx="26">
                  <c:v>46051</c:v>
                </c:pt>
                <c:pt idx="27">
                  <c:v>46052</c:v>
                </c:pt>
                <c:pt idx="28">
                  <c:v>46053</c:v>
                </c:pt>
                <c:pt idx="29">
                  <c:v>46054</c:v>
                </c:pt>
                <c:pt idx="30">
                  <c:v>46055</c:v>
                </c:pt>
                <c:pt idx="31">
                  <c:v>46056</c:v>
                </c:pt>
                <c:pt idx="32">
                  <c:v>46057</c:v>
                </c:pt>
                <c:pt idx="33">
                  <c:v>46058</c:v>
                </c:pt>
                <c:pt idx="34">
                  <c:v>46059</c:v>
                </c:pt>
                <c:pt idx="35">
                  <c:v>46060</c:v>
                </c:pt>
                <c:pt idx="36">
                  <c:v>46061</c:v>
                </c:pt>
                <c:pt idx="37">
                  <c:v>46062</c:v>
                </c:pt>
                <c:pt idx="38">
                  <c:v>46063</c:v>
                </c:pt>
                <c:pt idx="39">
                  <c:v>46064</c:v>
                </c:pt>
                <c:pt idx="40">
                  <c:v>46065</c:v>
                </c:pt>
                <c:pt idx="41">
                  <c:v>46067</c:v>
                </c:pt>
                <c:pt idx="42">
                  <c:v>46068</c:v>
                </c:pt>
                <c:pt idx="43">
                  <c:v>46069</c:v>
                </c:pt>
                <c:pt idx="44">
                  <c:v>46070</c:v>
                </c:pt>
                <c:pt idx="45">
                  <c:v>46071</c:v>
                </c:pt>
                <c:pt idx="46">
                  <c:v>46072</c:v>
                </c:pt>
                <c:pt idx="47">
                  <c:v>46073</c:v>
                </c:pt>
                <c:pt idx="48">
                  <c:v>46074</c:v>
                </c:pt>
                <c:pt idx="49">
                  <c:v>46075</c:v>
                </c:pt>
                <c:pt idx="50">
                  <c:v>46076</c:v>
                </c:pt>
                <c:pt idx="51">
                  <c:v>46077</c:v>
                </c:pt>
                <c:pt idx="52">
                  <c:v>46078</c:v>
                </c:pt>
                <c:pt idx="53">
                  <c:v>46079</c:v>
                </c:pt>
                <c:pt idx="54">
                  <c:v>46080</c:v>
                </c:pt>
                <c:pt idx="55">
                  <c:v>46081</c:v>
                </c:pt>
                <c:pt idx="56">
                  <c:v>46082</c:v>
                </c:pt>
                <c:pt idx="57">
                  <c:v>46083</c:v>
                </c:pt>
                <c:pt idx="58">
                  <c:v>46084</c:v>
                </c:pt>
                <c:pt idx="59">
                  <c:v>46085</c:v>
                </c:pt>
                <c:pt idx="60">
                  <c:v>46086</c:v>
                </c:pt>
                <c:pt idx="61">
                  <c:v>46087</c:v>
                </c:pt>
                <c:pt idx="62">
                  <c:v>46089</c:v>
                </c:pt>
                <c:pt idx="63">
                  <c:v>46090</c:v>
                </c:pt>
                <c:pt idx="64">
                  <c:v>46091</c:v>
                </c:pt>
                <c:pt idx="65">
                  <c:v>46092</c:v>
                </c:pt>
                <c:pt idx="66">
                  <c:v>46093</c:v>
                </c:pt>
                <c:pt idx="67">
                  <c:v>46094</c:v>
                </c:pt>
                <c:pt idx="68">
                  <c:v>46095</c:v>
                </c:pt>
                <c:pt idx="69">
                  <c:v>46096</c:v>
                </c:pt>
                <c:pt idx="70">
                  <c:v>46097</c:v>
                </c:pt>
                <c:pt idx="71">
                  <c:v>46099</c:v>
                </c:pt>
                <c:pt idx="72">
                  <c:v>46100</c:v>
                </c:pt>
                <c:pt idx="73">
                  <c:v>46101</c:v>
                </c:pt>
                <c:pt idx="74">
                  <c:v>46102</c:v>
                </c:pt>
                <c:pt idx="75">
                  <c:v>46103</c:v>
                </c:pt>
                <c:pt idx="76">
                  <c:v>46104</c:v>
                </c:pt>
                <c:pt idx="77">
                  <c:v>46105</c:v>
                </c:pt>
                <c:pt idx="78">
                  <c:v>46106</c:v>
                </c:pt>
                <c:pt idx="79">
                  <c:v>46107</c:v>
                </c:pt>
                <c:pt idx="80">
                  <c:v>46108</c:v>
                </c:pt>
                <c:pt idx="81">
                  <c:v>46109</c:v>
                </c:pt>
                <c:pt idx="82">
                  <c:v>46110</c:v>
                </c:pt>
                <c:pt idx="83">
                  <c:v>46112</c:v>
                </c:pt>
              </c:numCache>
            </c:numRef>
          </c:cat>
          <c:val>
            <c:numRef>
              <c:f>Analysis!$B$44:$B$127</c:f>
              <c:numCache>
                <c:formatCode>General</c:formatCode>
                <c:ptCount val="84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7</c:v>
                </c:pt>
                <c:pt idx="16">
                  <c:v>3</c:v>
                </c:pt>
                <c:pt idx="17">
                  <c:v>7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3</c:v>
                </c:pt>
                <c:pt idx="28">
                  <c:v>6</c:v>
                </c:pt>
                <c:pt idx="29">
                  <c:v>6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8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2</c:v>
                </c:pt>
                <c:pt idx="47">
                  <c:v>3</c:v>
                </c:pt>
                <c:pt idx="48">
                  <c:v>6</c:v>
                </c:pt>
                <c:pt idx="49">
                  <c:v>8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3</c:v>
                </c:pt>
                <c:pt idx="57">
                  <c:v>1</c:v>
                </c:pt>
                <c:pt idx="58">
                  <c:v>5</c:v>
                </c:pt>
                <c:pt idx="59">
                  <c:v>4</c:v>
                </c:pt>
                <c:pt idx="60">
                  <c:v>2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7</c:v>
                </c:pt>
                <c:pt idx="65">
                  <c:v>4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8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6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4</c:v>
                </c:pt>
                <c:pt idx="82">
                  <c:v>3</c:v>
                </c:pt>
                <c:pt idx="8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4-4FA5-B8D7-3A8428014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160237"/>
        <c:axId val="10146655"/>
      </c:lineChart>
      <c:dateAx>
        <c:axId val="591602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 mmm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46655"/>
        <c:crosses val="autoZero"/>
        <c:auto val="1"/>
        <c:lblOffset val="100"/>
        <c:baseTimeUnit val="days"/>
      </c:dateAx>
      <c:valAx>
        <c:axId val="10146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602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City-Level Order Density (Order Count by City)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Analysis!$B$129</c:f>
              <c:strCache>
                <c:ptCount val="1"/>
                <c:pt idx="0">
                  <c:v>OrderCount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Analysis!$A$130:$A$140</c:f>
              <c:strCache>
                <c:ptCount val="11"/>
                <c:pt idx="0">
                  <c:v>Mumbai</c:v>
                </c:pt>
                <c:pt idx="1">
                  <c:v>Hyderabad</c:v>
                </c:pt>
                <c:pt idx="2">
                  <c:v>Ahmedabad</c:v>
                </c:pt>
                <c:pt idx="3">
                  <c:v>Bangalore</c:v>
                </c:pt>
                <c:pt idx="4">
                  <c:v>Lucknow</c:v>
                </c:pt>
                <c:pt idx="5">
                  <c:v>Kochi</c:v>
                </c:pt>
                <c:pt idx="6">
                  <c:v>Pune</c:v>
                </c:pt>
                <c:pt idx="7">
                  <c:v>Chennai</c:v>
                </c:pt>
                <c:pt idx="8">
                  <c:v>Kolkata</c:v>
                </c:pt>
                <c:pt idx="9">
                  <c:v>Jaipur</c:v>
                </c:pt>
                <c:pt idx="10">
                  <c:v>Delhi</c:v>
                </c:pt>
              </c:strCache>
            </c:strRef>
          </c:cat>
          <c:val>
            <c:numRef>
              <c:f>Analysis!$B$130:$B$140</c:f>
              <c:numCache>
                <c:formatCode>General</c:formatCode>
                <c:ptCount val="11"/>
                <c:pt idx="0">
                  <c:v>56</c:v>
                </c:pt>
                <c:pt idx="1">
                  <c:v>22</c:v>
                </c:pt>
                <c:pt idx="2">
                  <c:v>22</c:v>
                </c:pt>
                <c:pt idx="3">
                  <c:v>30</c:v>
                </c:pt>
                <c:pt idx="4">
                  <c:v>15</c:v>
                </c:pt>
                <c:pt idx="5">
                  <c:v>14</c:v>
                </c:pt>
                <c:pt idx="6">
                  <c:v>27</c:v>
                </c:pt>
                <c:pt idx="7">
                  <c:v>20</c:v>
                </c:pt>
                <c:pt idx="8">
                  <c:v>19</c:v>
                </c:pt>
                <c:pt idx="9">
                  <c:v>26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A-484E-BB3A-25153758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14568"/>
        <c:axId val="18783845"/>
      </c:barChart>
      <c:catAx>
        <c:axId val="768145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83845"/>
        <c:crosses val="autoZero"/>
        <c:auto val="1"/>
        <c:lblAlgn val="ctr"/>
        <c:lblOffset val="100"/>
        <c:noMultiLvlLbl val="0"/>
      </c:catAx>
      <c:valAx>
        <c:axId val="1878384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14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131040</xdr:rowOff>
    </xdr:from>
    <xdr:to>
      <xdr:col>13</xdr:col>
      <xdr:colOff>581400</xdr:colOff>
      <xdr:row>29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131040</xdr:rowOff>
    </xdr:from>
    <xdr:to>
      <xdr:col>23</xdr:col>
      <xdr:colOff>581760</xdr:colOff>
      <xdr:row>29</xdr:row>
      <xdr:rowOff>110880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130680</xdr:rowOff>
    </xdr:from>
    <xdr:to>
      <xdr:col>21</xdr:col>
      <xdr:colOff>9360</xdr:colOff>
      <xdr:row>49</xdr:row>
      <xdr:rowOff>110880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52</xdr:row>
      <xdr:rowOff>131040</xdr:rowOff>
    </xdr:from>
    <xdr:to>
      <xdr:col>13</xdr:col>
      <xdr:colOff>581400</xdr:colOff>
      <xdr:row>71</xdr:row>
      <xdr:rowOff>110880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showGridLines="0" topLeftCell="A41" zoomScaleNormal="100" workbookViewId="0"/>
  </sheetViews>
  <sheetFormatPr defaultColWidth="8.6640625" defaultRowHeight="14.4" x14ac:dyDescent="0.3"/>
  <cols>
    <col min="1" max="1" width="3" customWidth="1"/>
  </cols>
  <sheetData>
    <row r="2" spans="2:4" ht="21" x14ac:dyDescent="0.4">
      <c r="B2" s="2" t="s">
        <v>0</v>
      </c>
    </row>
    <row r="3" spans="2:4" x14ac:dyDescent="0.3">
      <c r="B3" s="3" t="s">
        <v>1</v>
      </c>
    </row>
    <row r="6" spans="2:4" ht="15.6" x14ac:dyDescent="0.3">
      <c r="B6" s="4" t="s">
        <v>2</v>
      </c>
    </row>
    <row r="7" spans="2:4" x14ac:dyDescent="0.3">
      <c r="B7" s="1">
        <f>Analysis!A143</f>
        <v>0.73</v>
      </c>
      <c r="C7" s="1"/>
      <c r="D7" s="1"/>
    </row>
    <row r="8" spans="2:4" x14ac:dyDescent="0.3">
      <c r="B8" s="1"/>
      <c r="C8" s="1"/>
      <c r="D8" s="1"/>
    </row>
    <row r="9" spans="2:4" x14ac:dyDescent="0.3">
      <c r="B9" s="1"/>
      <c r="C9" s="1"/>
      <c r="D9" s="1"/>
    </row>
  </sheetData>
  <mergeCells count="1">
    <mergeCell ref="B7:D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tabSelected="1" zoomScale="55" zoomScaleNormal="55" workbookViewId="0">
      <pane ySplit="1" topLeftCell="A150" activePane="bottomLeft" state="frozen"/>
      <selection pane="bottomLeft" activeCell="M166" sqref="M166"/>
    </sheetView>
  </sheetViews>
  <sheetFormatPr defaultColWidth="8.6640625" defaultRowHeight="14.4" x14ac:dyDescent="0.3"/>
  <cols>
    <col min="1" max="1" width="10" style="5" customWidth="1"/>
    <col min="2" max="2" width="12" style="5" customWidth="1"/>
    <col min="3" max="3" width="14" style="5" customWidth="1"/>
    <col min="4" max="4" width="19" style="5" customWidth="1"/>
    <col min="5" max="5" width="14" style="5" customWidth="1"/>
    <col min="6" max="6" width="17" style="5" customWidth="1"/>
    <col min="7" max="8" width="13" style="5" customWidth="1"/>
    <col min="9" max="9" width="15" style="5" customWidth="1"/>
    <col min="10" max="11" width="70" style="5" customWidth="1"/>
  </cols>
  <sheetData>
    <row r="1" spans="1:11" ht="15" customHeight="1" x14ac:dyDescent="0.3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</row>
    <row r="2" spans="1:11" ht="15" customHeight="1" x14ac:dyDescent="0.3">
      <c r="A2" s="7" t="s">
        <v>14</v>
      </c>
      <c r="B2" s="7" t="s">
        <v>15</v>
      </c>
      <c r="C2" s="8">
        <v>46023</v>
      </c>
      <c r="D2" s="7" t="s">
        <v>16</v>
      </c>
      <c r="E2" s="9">
        <v>607.33000000000004</v>
      </c>
      <c r="F2" s="7" t="s">
        <v>17</v>
      </c>
      <c r="G2" s="7" t="s">
        <v>18</v>
      </c>
      <c r="H2" s="7" t="s">
        <v>19</v>
      </c>
      <c r="I2" s="7" t="s">
        <v>20</v>
      </c>
      <c r="J2" s="7" t="str">
        <f>INDEX(Restaurants!$B$2:$B$23,MATCH(I2,Restaurants!$A$2:$A$23,0))</f>
        <v>Sea Breeze Grill</v>
      </c>
      <c r="K2" s="7" t="str">
        <f>INDEX(Restaurants!$D$2:$D$23,MATCH(I2,Restaurants!$A$2:$A$23,0))</f>
        <v>Seafood</v>
      </c>
    </row>
    <row r="3" spans="1:11" ht="15" customHeight="1" x14ac:dyDescent="0.3">
      <c r="A3" s="7" t="s">
        <v>21</v>
      </c>
      <c r="B3" s="7" t="s">
        <v>22</v>
      </c>
      <c r="C3" s="8">
        <v>46023</v>
      </c>
      <c r="D3" s="7" t="s">
        <v>16</v>
      </c>
      <c r="E3" s="9">
        <v>579.35</v>
      </c>
      <c r="F3" s="7" t="s">
        <v>23</v>
      </c>
      <c r="G3" s="7" t="s">
        <v>24</v>
      </c>
      <c r="H3" s="7" t="s">
        <v>25</v>
      </c>
      <c r="I3" s="7" t="s">
        <v>26</v>
      </c>
      <c r="J3" s="7" t="str">
        <f>INDEX(Restaurants!$B$2:$B$23,MATCH(I3,Restaurants!$A$2:$A$23,0))</f>
        <v>Nizam's Table</v>
      </c>
      <c r="K3" s="7" t="str">
        <f>INDEX(Restaurants!$D$2:$D$23,MATCH(I3,Restaurants!$A$2:$A$23,0))</f>
        <v>Mughlai</v>
      </c>
    </row>
    <row r="4" spans="1:11" ht="15" customHeight="1" x14ac:dyDescent="0.3">
      <c r="A4" s="7" t="s">
        <v>27</v>
      </c>
      <c r="B4" s="7" t="s">
        <v>28</v>
      </c>
      <c r="C4" s="8">
        <v>46023</v>
      </c>
      <c r="D4" s="7" t="s">
        <v>16</v>
      </c>
      <c r="E4" s="9">
        <v>417.23</v>
      </c>
      <c r="F4" s="7" t="s">
        <v>29</v>
      </c>
      <c r="G4" s="7" t="s">
        <v>30</v>
      </c>
      <c r="H4" s="7" t="s">
        <v>31</v>
      </c>
      <c r="I4" s="7" t="s">
        <v>32</v>
      </c>
      <c r="J4" s="7" t="str">
        <f>INDEX(Restaurants!$B$2:$B$23,MATCH(I4,Restaurants!$A$2:$A$23,0))</f>
        <v>Gujarat Thali Home</v>
      </c>
      <c r="K4" s="7" t="str">
        <f>INDEX(Restaurants!$D$2:$D$23,MATCH(I4,Restaurants!$A$2:$A$23,0))</f>
        <v>Gujarati</v>
      </c>
    </row>
    <row r="5" spans="1:11" ht="15" customHeight="1" x14ac:dyDescent="0.3">
      <c r="A5" s="7" t="s">
        <v>33</v>
      </c>
      <c r="B5" s="7" t="s">
        <v>34</v>
      </c>
      <c r="C5" s="8">
        <v>46023</v>
      </c>
      <c r="D5" s="7" t="s">
        <v>35</v>
      </c>
      <c r="E5" s="9">
        <v>386.08</v>
      </c>
      <c r="F5" s="7" t="s">
        <v>36</v>
      </c>
      <c r="G5" s="7" t="s">
        <v>37</v>
      </c>
      <c r="H5" s="7" t="s">
        <v>38</v>
      </c>
      <c r="I5" s="7" t="s">
        <v>39</v>
      </c>
      <c r="J5" s="7" t="str">
        <f>INDEX(Restaurants!$B$2:$B$23,MATCH(I5,Restaurants!$A$2:$A$23,0))</f>
        <v>Silicon Spice</v>
      </c>
      <c r="K5" s="7" t="str">
        <f>INDEX(Restaurants!$D$2:$D$23,MATCH(I5,Restaurants!$A$2:$A$23,0))</f>
        <v>Multi-Cuisine</v>
      </c>
    </row>
    <row r="6" spans="1:11" ht="15" customHeight="1" x14ac:dyDescent="0.3">
      <c r="A6" s="7" t="s">
        <v>40</v>
      </c>
      <c r="B6" s="7" t="s">
        <v>22</v>
      </c>
      <c r="C6" s="8">
        <v>46023</v>
      </c>
      <c r="D6" s="7" t="s">
        <v>16</v>
      </c>
      <c r="E6" s="9">
        <v>545.14</v>
      </c>
      <c r="F6" s="7" t="s">
        <v>41</v>
      </c>
      <c r="G6" s="7" t="s">
        <v>42</v>
      </c>
      <c r="H6" s="7" t="s">
        <v>43</v>
      </c>
      <c r="I6" s="7" t="s">
        <v>26</v>
      </c>
      <c r="J6" s="7" t="str">
        <f>INDEX(Restaurants!$B$2:$B$23,MATCH(I6,Restaurants!$A$2:$A$23,0))</f>
        <v>Nizam's Table</v>
      </c>
      <c r="K6" s="7" t="str">
        <f>INDEX(Restaurants!$D$2:$D$23,MATCH(I6,Restaurants!$A$2:$A$23,0))</f>
        <v>Mughlai</v>
      </c>
    </row>
    <row r="7" spans="1:11" ht="15" customHeight="1" x14ac:dyDescent="0.3">
      <c r="A7" s="7" t="s">
        <v>44</v>
      </c>
      <c r="B7" s="7" t="s">
        <v>15</v>
      </c>
      <c r="C7" s="8">
        <v>46024</v>
      </c>
      <c r="D7" s="7" t="s">
        <v>45</v>
      </c>
      <c r="E7" s="9">
        <v>1027.72</v>
      </c>
      <c r="F7" s="7" t="s">
        <v>46</v>
      </c>
      <c r="G7" s="7" t="s">
        <v>47</v>
      </c>
      <c r="H7" s="7" t="s">
        <v>48</v>
      </c>
      <c r="I7" s="7" t="s">
        <v>49</v>
      </c>
      <c r="J7" s="7" t="str">
        <f>INDEX(Restaurants!$B$2:$B$23,MATCH(I7,Restaurants!$A$2:$A$23,0))</f>
        <v>Bombay Bites</v>
      </c>
      <c r="K7" s="7" t="str">
        <f>INDEX(Restaurants!$D$2:$D$23,MATCH(I7,Restaurants!$A$2:$A$23,0))</f>
        <v>Street Food</v>
      </c>
    </row>
    <row r="8" spans="1:11" ht="15" customHeight="1" x14ac:dyDescent="0.3">
      <c r="A8" s="7" t="s">
        <v>50</v>
      </c>
      <c r="B8" s="7" t="s">
        <v>51</v>
      </c>
      <c r="C8" s="8">
        <v>46024</v>
      </c>
      <c r="D8" s="7" t="s">
        <v>45</v>
      </c>
      <c r="E8" s="9">
        <v>241.87</v>
      </c>
      <c r="F8" s="7" t="s">
        <v>52</v>
      </c>
      <c r="G8" s="7" t="s">
        <v>53</v>
      </c>
      <c r="H8" s="7" t="s">
        <v>54</v>
      </c>
      <c r="I8" s="7" t="s">
        <v>55</v>
      </c>
      <c r="J8" s="7" t="str">
        <f>INDEX(Restaurants!$B$2:$B$23,MATCH(I8,Restaurants!$A$2:$A$23,0))</f>
        <v>Tunday Kababi Corner</v>
      </c>
      <c r="K8" s="7" t="str">
        <f>INDEX(Restaurants!$D$2:$D$23,MATCH(I8,Restaurants!$A$2:$A$23,0))</f>
        <v>Awadhi</v>
      </c>
    </row>
    <row r="9" spans="1:11" ht="15" customHeight="1" x14ac:dyDescent="0.3">
      <c r="A9" s="7" t="s">
        <v>56</v>
      </c>
      <c r="B9" s="7" t="s">
        <v>57</v>
      </c>
      <c r="C9" s="8">
        <v>46025</v>
      </c>
      <c r="D9" s="7" t="s">
        <v>16</v>
      </c>
      <c r="E9" s="9">
        <v>490.33</v>
      </c>
      <c r="F9" s="7" t="s">
        <v>58</v>
      </c>
      <c r="G9" s="7" t="s">
        <v>59</v>
      </c>
      <c r="H9" s="7" t="s">
        <v>60</v>
      </c>
      <c r="I9" s="7" t="s">
        <v>61</v>
      </c>
      <c r="J9" s="7" t="str">
        <f>INDEX(Restaurants!$B$2:$B$23,MATCH(I9,Restaurants!$A$2:$A$23,0))</f>
        <v>Fort Kochi Seafoods</v>
      </c>
      <c r="K9" s="7" t="str">
        <f>INDEX(Restaurants!$D$2:$D$23,MATCH(I9,Restaurants!$A$2:$A$23,0))</f>
        <v>Seafood</v>
      </c>
    </row>
    <row r="10" spans="1:11" ht="15" customHeight="1" x14ac:dyDescent="0.3">
      <c r="A10" s="7" t="s">
        <v>62</v>
      </c>
      <c r="B10" s="7" t="s">
        <v>63</v>
      </c>
      <c r="C10" s="8">
        <v>46025</v>
      </c>
      <c r="D10" s="7" t="s">
        <v>64</v>
      </c>
      <c r="E10" s="9">
        <v>570.49</v>
      </c>
      <c r="F10" s="7" t="s">
        <v>65</v>
      </c>
      <c r="G10" s="7" t="s">
        <v>66</v>
      </c>
      <c r="H10" s="7" t="s">
        <v>67</v>
      </c>
      <c r="I10" s="7" t="s">
        <v>68</v>
      </c>
      <c r="J10" s="7" t="str">
        <f>INDEX(Restaurants!$B$2:$B$23,MATCH(I10,Restaurants!$A$2:$A$23,0))</f>
        <v>Puneri Misal House</v>
      </c>
      <c r="K10" s="7" t="str">
        <f>INDEX(Restaurants!$D$2:$D$23,MATCH(I10,Restaurants!$A$2:$A$23,0))</f>
        <v>Maharashtrian</v>
      </c>
    </row>
    <row r="11" spans="1:11" ht="15" customHeight="1" x14ac:dyDescent="0.3">
      <c r="A11" s="7" t="s">
        <v>69</v>
      </c>
      <c r="B11" s="7" t="s">
        <v>70</v>
      </c>
      <c r="C11" s="8">
        <v>46025</v>
      </c>
      <c r="D11" s="7" t="s">
        <v>16</v>
      </c>
      <c r="E11" s="9">
        <v>442.36</v>
      </c>
      <c r="F11" s="7" t="s">
        <v>71</v>
      </c>
      <c r="G11" s="7" t="s">
        <v>72</v>
      </c>
      <c r="H11" s="7" t="s">
        <v>73</v>
      </c>
      <c r="I11" s="7" t="s">
        <v>74</v>
      </c>
      <c r="J11" s="7" t="str">
        <f>INDEX(Restaurants!$B$2:$B$23,MATCH(I11,Restaurants!$A$2:$A$23,0))</f>
        <v>Chettinad Corner</v>
      </c>
      <c r="K11" s="7" t="str">
        <f>INDEX(Restaurants!$D$2:$D$23,MATCH(I11,Restaurants!$A$2:$A$23,0))</f>
        <v>Chettinad</v>
      </c>
    </row>
    <row r="12" spans="1:11" ht="15" customHeight="1" x14ac:dyDescent="0.3">
      <c r="A12" s="7" t="s">
        <v>75</v>
      </c>
      <c r="B12" s="7" t="s">
        <v>76</v>
      </c>
      <c r="C12" s="8">
        <v>46026</v>
      </c>
      <c r="D12" s="7" t="s">
        <v>16</v>
      </c>
      <c r="E12" s="9">
        <v>315.76</v>
      </c>
      <c r="F12" s="7" t="s">
        <v>77</v>
      </c>
      <c r="G12" s="7" t="s">
        <v>78</v>
      </c>
      <c r="H12" s="7" t="s">
        <v>79</v>
      </c>
      <c r="I12" s="7" t="s">
        <v>80</v>
      </c>
      <c r="J12" s="7" t="str">
        <f>INDEX(Restaurants!$B$2:$B$23,MATCH(I12,Restaurants!$A$2:$A$23,0))</f>
        <v>Bong Bhoj</v>
      </c>
      <c r="K12" s="7" t="str">
        <f>INDEX(Restaurants!$D$2:$D$23,MATCH(I12,Restaurants!$A$2:$A$23,0))</f>
        <v>Bengali</v>
      </c>
    </row>
    <row r="13" spans="1:11" ht="15" customHeight="1" x14ac:dyDescent="0.3">
      <c r="A13" s="7" t="s">
        <v>81</v>
      </c>
      <c r="B13" s="7" t="s">
        <v>63</v>
      </c>
      <c r="C13" s="8">
        <v>46026</v>
      </c>
      <c r="D13" s="7" t="s">
        <v>16</v>
      </c>
      <c r="E13" s="9">
        <v>912.7</v>
      </c>
      <c r="F13" s="7" t="s">
        <v>82</v>
      </c>
      <c r="G13" s="7" t="s">
        <v>83</v>
      </c>
      <c r="H13" s="7" t="s">
        <v>84</v>
      </c>
      <c r="I13" s="7" t="s">
        <v>85</v>
      </c>
      <c r="J13" s="7" t="str">
        <f>INDEX(Restaurants!$B$2:$B$23,MATCH(I13,Restaurants!$A$2:$A$23,0))</f>
        <v>Deccan Diner</v>
      </c>
      <c r="K13" s="7" t="str">
        <f>INDEX(Restaurants!$D$2:$D$23,MATCH(I13,Restaurants!$A$2:$A$23,0))</f>
        <v>Continental</v>
      </c>
    </row>
    <row r="14" spans="1:11" ht="15" customHeight="1" x14ac:dyDescent="0.3">
      <c r="A14" s="7" t="s">
        <v>86</v>
      </c>
      <c r="B14" s="7" t="s">
        <v>15</v>
      </c>
      <c r="C14" s="8">
        <v>46026</v>
      </c>
      <c r="D14" s="7" t="s">
        <v>16</v>
      </c>
      <c r="E14" s="9">
        <v>857.72</v>
      </c>
      <c r="F14" s="7" t="s">
        <v>87</v>
      </c>
      <c r="G14" s="7" t="s">
        <v>88</v>
      </c>
      <c r="H14" s="7" t="s">
        <v>89</v>
      </c>
      <c r="I14" s="7" t="s">
        <v>20</v>
      </c>
      <c r="J14" s="7" t="str">
        <f>INDEX(Restaurants!$B$2:$B$23,MATCH(I14,Restaurants!$A$2:$A$23,0))</f>
        <v>Sea Breeze Grill</v>
      </c>
      <c r="K14" s="7" t="str">
        <f>INDEX(Restaurants!$D$2:$D$23,MATCH(I14,Restaurants!$A$2:$A$23,0))</f>
        <v>Seafood</v>
      </c>
    </row>
    <row r="15" spans="1:11" ht="15" customHeight="1" x14ac:dyDescent="0.3">
      <c r="A15" s="7" t="s">
        <v>90</v>
      </c>
      <c r="B15" s="7" t="s">
        <v>91</v>
      </c>
      <c r="C15" s="8">
        <v>46026</v>
      </c>
      <c r="D15" s="7" t="s">
        <v>16</v>
      </c>
      <c r="E15" s="9">
        <v>184.58</v>
      </c>
      <c r="F15" s="7" t="s">
        <v>92</v>
      </c>
      <c r="G15" s="7" t="s">
        <v>93</v>
      </c>
      <c r="H15" s="7" t="s">
        <v>94</v>
      </c>
      <c r="I15" s="7" t="s">
        <v>95</v>
      </c>
      <c r="J15" s="7" t="str">
        <f>INDEX(Restaurants!$B$2:$B$23,MATCH(I15,Restaurants!$A$2:$A$23,0))</f>
        <v>Royal Thali Palace</v>
      </c>
      <c r="K15" s="7" t="str">
        <f>INDEX(Restaurants!$D$2:$D$23,MATCH(I15,Restaurants!$A$2:$A$23,0))</f>
        <v>Rajasthani</v>
      </c>
    </row>
    <row r="16" spans="1:11" ht="15" customHeight="1" x14ac:dyDescent="0.3">
      <c r="A16" s="7" t="s">
        <v>96</v>
      </c>
      <c r="B16" s="7" t="s">
        <v>15</v>
      </c>
      <c r="C16" s="8">
        <v>46026</v>
      </c>
      <c r="D16" s="7" t="s">
        <v>16</v>
      </c>
      <c r="E16" s="9">
        <v>1148.24</v>
      </c>
      <c r="F16" s="7" t="s">
        <v>46</v>
      </c>
      <c r="G16" s="7" t="s">
        <v>47</v>
      </c>
      <c r="H16" s="7" t="s">
        <v>48</v>
      </c>
      <c r="I16" s="7" t="s">
        <v>49</v>
      </c>
      <c r="J16" s="7" t="str">
        <f>INDEX(Restaurants!$B$2:$B$23,MATCH(I16,Restaurants!$A$2:$A$23,0))</f>
        <v>Bombay Bites</v>
      </c>
      <c r="K16" s="7" t="str">
        <f>INDEX(Restaurants!$D$2:$D$23,MATCH(I16,Restaurants!$A$2:$A$23,0))</f>
        <v>Street Food</v>
      </c>
    </row>
    <row r="17" spans="1:11" ht="15" customHeight="1" x14ac:dyDescent="0.3">
      <c r="A17" s="7" t="s">
        <v>97</v>
      </c>
      <c r="B17" s="7" t="s">
        <v>22</v>
      </c>
      <c r="C17" s="8">
        <v>46026</v>
      </c>
      <c r="D17" s="7" t="s">
        <v>16</v>
      </c>
      <c r="E17" s="9">
        <v>734.23</v>
      </c>
      <c r="F17" s="7" t="s">
        <v>23</v>
      </c>
      <c r="G17" s="7" t="s">
        <v>24</v>
      </c>
      <c r="H17" s="7" t="s">
        <v>25</v>
      </c>
      <c r="I17" s="7" t="s">
        <v>98</v>
      </c>
      <c r="J17" s="7" t="str">
        <f>INDEX(Restaurants!$B$2:$B$23,MATCH(I17,Restaurants!$A$2:$A$23,0))</f>
        <v>Hyderabadi Biryani House</v>
      </c>
      <c r="K17" s="7" t="str">
        <f>INDEX(Restaurants!$D$2:$D$23,MATCH(I17,Restaurants!$A$2:$A$23,0))</f>
        <v>Biryani</v>
      </c>
    </row>
    <row r="18" spans="1:11" ht="15" customHeight="1" x14ac:dyDescent="0.3">
      <c r="A18" s="7" t="s">
        <v>99</v>
      </c>
      <c r="B18" s="7" t="s">
        <v>34</v>
      </c>
      <c r="C18" s="8">
        <v>46027</v>
      </c>
      <c r="D18" s="7" t="s">
        <v>35</v>
      </c>
      <c r="E18" s="9">
        <v>903.73</v>
      </c>
      <c r="F18" s="7" t="s">
        <v>100</v>
      </c>
      <c r="G18" s="7" t="s">
        <v>101</v>
      </c>
      <c r="H18" s="7" t="s">
        <v>102</v>
      </c>
      <c r="I18" s="7" t="s">
        <v>103</v>
      </c>
      <c r="J18" s="7" t="str">
        <f>INDEX(Restaurants!$B$2:$B$23,MATCH(I18,Restaurants!$A$2:$A$23,0))</f>
        <v>Namma Bangalore Cafe</v>
      </c>
      <c r="K18" s="7" t="str">
        <f>INDEX(Restaurants!$D$2:$D$23,MATCH(I18,Restaurants!$A$2:$A$23,0))</f>
        <v>South Indian</v>
      </c>
    </row>
    <row r="19" spans="1:11" ht="15" customHeight="1" x14ac:dyDescent="0.3">
      <c r="A19" s="7" t="s">
        <v>104</v>
      </c>
      <c r="B19" s="7" t="s">
        <v>34</v>
      </c>
      <c r="C19" s="8">
        <v>46027</v>
      </c>
      <c r="D19" s="7" t="s">
        <v>16</v>
      </c>
      <c r="E19" s="9">
        <v>417.55</v>
      </c>
      <c r="F19" s="7" t="s">
        <v>105</v>
      </c>
      <c r="G19" s="7" t="s">
        <v>106</v>
      </c>
      <c r="H19" s="7" t="s">
        <v>107</v>
      </c>
      <c r="I19" s="7" t="s">
        <v>39</v>
      </c>
      <c r="J19" s="7" t="str">
        <f>INDEX(Restaurants!$B$2:$B$23,MATCH(I19,Restaurants!$A$2:$A$23,0))</f>
        <v>Silicon Spice</v>
      </c>
      <c r="K19" s="7" t="str">
        <f>INDEX(Restaurants!$D$2:$D$23,MATCH(I19,Restaurants!$A$2:$A$23,0))</f>
        <v>Multi-Cuisine</v>
      </c>
    </row>
    <row r="20" spans="1:11" ht="15" customHeight="1" x14ac:dyDescent="0.3">
      <c r="A20" s="7" t="s">
        <v>108</v>
      </c>
      <c r="B20" s="7" t="s">
        <v>15</v>
      </c>
      <c r="C20" s="8">
        <v>46027</v>
      </c>
      <c r="D20" s="7" t="s">
        <v>45</v>
      </c>
      <c r="E20" s="9">
        <v>500.82</v>
      </c>
      <c r="F20" s="7" t="s">
        <v>17</v>
      </c>
      <c r="G20" s="7" t="s">
        <v>18</v>
      </c>
      <c r="H20" s="7" t="s">
        <v>19</v>
      </c>
      <c r="I20" s="7" t="s">
        <v>49</v>
      </c>
      <c r="J20" s="7" t="str">
        <f>INDEX(Restaurants!$B$2:$B$23,MATCH(I20,Restaurants!$A$2:$A$23,0))</f>
        <v>Bombay Bites</v>
      </c>
      <c r="K20" s="7" t="str">
        <f>INDEX(Restaurants!$D$2:$D$23,MATCH(I20,Restaurants!$A$2:$A$23,0))</f>
        <v>Street Food</v>
      </c>
    </row>
    <row r="21" spans="1:11" ht="15" customHeight="1" x14ac:dyDescent="0.3">
      <c r="A21" s="7" t="s">
        <v>109</v>
      </c>
      <c r="B21" s="7" t="s">
        <v>15</v>
      </c>
      <c r="C21" s="8">
        <v>46028</v>
      </c>
      <c r="D21" s="7" t="s">
        <v>16</v>
      </c>
      <c r="E21" s="9">
        <v>385.8</v>
      </c>
      <c r="F21" s="7" t="s">
        <v>46</v>
      </c>
      <c r="G21" s="7" t="s">
        <v>47</v>
      </c>
      <c r="H21" s="7" t="s">
        <v>48</v>
      </c>
      <c r="I21" s="7" t="s">
        <v>20</v>
      </c>
      <c r="J21" s="7" t="str">
        <f>INDEX(Restaurants!$B$2:$B$23,MATCH(I21,Restaurants!$A$2:$A$23,0))</f>
        <v>Sea Breeze Grill</v>
      </c>
      <c r="K21" s="7" t="str">
        <f>INDEX(Restaurants!$D$2:$D$23,MATCH(I21,Restaurants!$A$2:$A$23,0))</f>
        <v>Seafood</v>
      </c>
    </row>
    <row r="22" spans="1:11" ht="15" customHeight="1" x14ac:dyDescent="0.3">
      <c r="A22" s="7" t="s">
        <v>110</v>
      </c>
      <c r="B22" s="7" t="s">
        <v>70</v>
      </c>
      <c r="C22" s="8">
        <v>46028</v>
      </c>
      <c r="D22" s="7" t="s">
        <v>64</v>
      </c>
      <c r="E22" s="9">
        <v>639.88</v>
      </c>
      <c r="F22" s="7" t="s">
        <v>111</v>
      </c>
      <c r="G22" s="7" t="s">
        <v>112</v>
      </c>
      <c r="H22" s="7" t="s">
        <v>113</v>
      </c>
      <c r="I22" s="7" t="s">
        <v>114</v>
      </c>
      <c r="J22" s="7" t="str">
        <f>INDEX(Restaurants!$B$2:$B$23,MATCH(I22,Restaurants!$A$2:$A$23,0))</f>
        <v>Marina Meals</v>
      </c>
      <c r="K22" s="7" t="str">
        <f>INDEX(Restaurants!$D$2:$D$23,MATCH(I22,Restaurants!$A$2:$A$23,0))</f>
        <v>South Indian</v>
      </c>
    </row>
    <row r="23" spans="1:11" ht="15" customHeight="1" x14ac:dyDescent="0.3">
      <c r="A23" s="7" t="s">
        <v>115</v>
      </c>
      <c r="B23" s="7" t="s">
        <v>34</v>
      </c>
      <c r="C23" s="8">
        <v>46028</v>
      </c>
      <c r="D23" s="7" t="s">
        <v>45</v>
      </c>
      <c r="E23" s="9">
        <v>379.63</v>
      </c>
      <c r="F23" s="7" t="s">
        <v>105</v>
      </c>
      <c r="G23" s="7" t="s">
        <v>106</v>
      </c>
      <c r="H23" s="7" t="s">
        <v>107</v>
      </c>
      <c r="I23" s="7" t="s">
        <v>103</v>
      </c>
      <c r="J23" s="7" t="str">
        <f>INDEX(Restaurants!$B$2:$B$23,MATCH(I23,Restaurants!$A$2:$A$23,0))</f>
        <v>Namma Bangalore Cafe</v>
      </c>
      <c r="K23" s="7" t="str">
        <f>INDEX(Restaurants!$D$2:$D$23,MATCH(I23,Restaurants!$A$2:$A$23,0))</f>
        <v>South Indian</v>
      </c>
    </row>
    <row r="24" spans="1:11" ht="15" customHeight="1" x14ac:dyDescent="0.3">
      <c r="A24" s="7" t="s">
        <v>116</v>
      </c>
      <c r="B24" s="7" t="s">
        <v>76</v>
      </c>
      <c r="C24" s="8">
        <v>46028</v>
      </c>
      <c r="D24" s="7" t="s">
        <v>35</v>
      </c>
      <c r="E24" s="9">
        <v>1092.76</v>
      </c>
      <c r="F24" s="7" t="s">
        <v>117</v>
      </c>
      <c r="G24" s="7" t="s">
        <v>118</v>
      </c>
      <c r="H24" s="7" t="s">
        <v>119</v>
      </c>
      <c r="I24" s="7" t="s">
        <v>80</v>
      </c>
      <c r="J24" s="7" t="str">
        <f>INDEX(Restaurants!$B$2:$B$23,MATCH(I24,Restaurants!$A$2:$A$23,0))</f>
        <v>Bong Bhoj</v>
      </c>
      <c r="K24" s="7" t="str">
        <f>INDEX(Restaurants!$D$2:$D$23,MATCH(I24,Restaurants!$A$2:$A$23,0))</f>
        <v>Bengali</v>
      </c>
    </row>
    <row r="25" spans="1:11" ht="15" customHeight="1" x14ac:dyDescent="0.3">
      <c r="A25" s="7" t="s">
        <v>120</v>
      </c>
      <c r="B25" s="7" t="s">
        <v>121</v>
      </c>
      <c r="C25" s="8">
        <v>46029</v>
      </c>
      <c r="D25" s="7" t="s">
        <v>16</v>
      </c>
      <c r="E25" s="9">
        <v>378</v>
      </c>
      <c r="F25" s="7" t="s">
        <v>122</v>
      </c>
      <c r="G25" s="7" t="s">
        <v>123</v>
      </c>
      <c r="H25" s="7" t="s">
        <v>124</v>
      </c>
      <c r="I25" s="7" t="s">
        <v>125</v>
      </c>
      <c r="J25" s="7" t="str">
        <f>INDEX(Restaurants!$B$2:$B$23,MATCH(I25,Restaurants!$A$2:$A$23,0))</f>
        <v>Karim's Kitchen</v>
      </c>
      <c r="K25" s="7" t="str">
        <f>INDEX(Restaurants!$D$2:$D$23,MATCH(I25,Restaurants!$A$2:$A$23,0))</f>
        <v>Mughlai</v>
      </c>
    </row>
    <row r="26" spans="1:11" ht="15" customHeight="1" x14ac:dyDescent="0.3">
      <c r="A26" s="7" t="s">
        <v>126</v>
      </c>
      <c r="B26" s="7" t="s">
        <v>22</v>
      </c>
      <c r="C26" s="8">
        <v>46030</v>
      </c>
      <c r="D26" s="7" t="s">
        <v>16</v>
      </c>
      <c r="E26" s="9">
        <v>629.44000000000005</v>
      </c>
      <c r="F26" s="7" t="s">
        <v>41</v>
      </c>
      <c r="G26" s="7" t="s">
        <v>42</v>
      </c>
      <c r="H26" s="7" t="s">
        <v>43</v>
      </c>
      <c r="I26" s="7" t="s">
        <v>98</v>
      </c>
      <c r="J26" s="7" t="str">
        <f>INDEX(Restaurants!$B$2:$B$23,MATCH(I26,Restaurants!$A$2:$A$23,0))</f>
        <v>Hyderabadi Biryani House</v>
      </c>
      <c r="K26" s="7" t="str">
        <f>INDEX(Restaurants!$D$2:$D$23,MATCH(I26,Restaurants!$A$2:$A$23,0))</f>
        <v>Biryani</v>
      </c>
    </row>
    <row r="27" spans="1:11" ht="15" customHeight="1" x14ac:dyDescent="0.3">
      <c r="A27" s="7" t="s">
        <v>127</v>
      </c>
      <c r="B27" s="7" t="s">
        <v>34</v>
      </c>
      <c r="C27" s="8">
        <v>46030</v>
      </c>
      <c r="D27" s="7" t="s">
        <v>16</v>
      </c>
      <c r="E27" s="9">
        <v>1060.03</v>
      </c>
      <c r="F27" s="7" t="s">
        <v>36</v>
      </c>
      <c r="G27" s="7" t="s">
        <v>37</v>
      </c>
      <c r="H27" s="7" t="s">
        <v>38</v>
      </c>
      <c r="I27" s="7" t="s">
        <v>103</v>
      </c>
      <c r="J27" s="7" t="str">
        <f>INDEX(Restaurants!$B$2:$B$23,MATCH(I27,Restaurants!$A$2:$A$23,0))</f>
        <v>Namma Bangalore Cafe</v>
      </c>
      <c r="K27" s="7" t="str">
        <f>INDEX(Restaurants!$D$2:$D$23,MATCH(I27,Restaurants!$A$2:$A$23,0))</f>
        <v>South Indian</v>
      </c>
    </row>
    <row r="28" spans="1:11" ht="15" customHeight="1" x14ac:dyDescent="0.3">
      <c r="A28" s="7" t="s">
        <v>128</v>
      </c>
      <c r="B28" s="7" t="s">
        <v>34</v>
      </c>
      <c r="C28" s="8">
        <v>46030</v>
      </c>
      <c r="D28" s="7" t="s">
        <v>64</v>
      </c>
      <c r="E28" s="9">
        <v>577.96</v>
      </c>
      <c r="F28" s="7" t="s">
        <v>105</v>
      </c>
      <c r="G28" s="7" t="s">
        <v>106</v>
      </c>
      <c r="H28" s="7" t="s">
        <v>107</v>
      </c>
      <c r="I28" s="7" t="s">
        <v>39</v>
      </c>
      <c r="J28" s="7" t="str">
        <f>INDEX(Restaurants!$B$2:$B$23,MATCH(I28,Restaurants!$A$2:$A$23,0))</f>
        <v>Silicon Spice</v>
      </c>
      <c r="K28" s="7" t="str">
        <f>INDEX(Restaurants!$D$2:$D$23,MATCH(I28,Restaurants!$A$2:$A$23,0))</f>
        <v>Multi-Cuisine</v>
      </c>
    </row>
    <row r="29" spans="1:11" ht="15" customHeight="1" x14ac:dyDescent="0.3">
      <c r="A29" s="7" t="s">
        <v>129</v>
      </c>
      <c r="B29" s="7" t="s">
        <v>91</v>
      </c>
      <c r="C29" s="8">
        <v>46030</v>
      </c>
      <c r="D29" s="7" t="s">
        <v>16</v>
      </c>
      <c r="E29" s="9">
        <v>926.73</v>
      </c>
      <c r="F29" s="7" t="s">
        <v>92</v>
      </c>
      <c r="G29" s="7" t="s">
        <v>93</v>
      </c>
      <c r="H29" s="7" t="s">
        <v>94</v>
      </c>
      <c r="I29" s="7" t="s">
        <v>130</v>
      </c>
      <c r="J29" s="7" t="str">
        <f>INDEX(Restaurants!$B$2:$B$23,MATCH(I29,Restaurants!$A$2:$A$23,0))</f>
        <v>Pink City Rasoi</v>
      </c>
      <c r="K29" s="7" t="str">
        <f>INDEX(Restaurants!$D$2:$D$23,MATCH(I29,Restaurants!$A$2:$A$23,0))</f>
        <v>Rajasthani</v>
      </c>
    </row>
    <row r="30" spans="1:11" ht="15" customHeight="1" x14ac:dyDescent="0.3">
      <c r="A30" s="7" t="s">
        <v>131</v>
      </c>
      <c r="B30" s="7" t="s">
        <v>15</v>
      </c>
      <c r="C30" s="8">
        <v>46030</v>
      </c>
      <c r="D30" s="7" t="s">
        <v>16</v>
      </c>
      <c r="E30" s="9">
        <v>802.65</v>
      </c>
      <c r="F30" s="7" t="s">
        <v>87</v>
      </c>
      <c r="G30" s="7" t="s">
        <v>88</v>
      </c>
      <c r="H30" s="7" t="s">
        <v>89</v>
      </c>
      <c r="I30" s="7" t="s">
        <v>49</v>
      </c>
      <c r="J30" s="7" t="str">
        <f>INDEX(Restaurants!$B$2:$B$23,MATCH(I30,Restaurants!$A$2:$A$23,0))</f>
        <v>Bombay Bites</v>
      </c>
      <c r="K30" s="7" t="str">
        <f>INDEX(Restaurants!$D$2:$D$23,MATCH(I30,Restaurants!$A$2:$A$23,0))</f>
        <v>Street Food</v>
      </c>
    </row>
    <row r="31" spans="1:11" ht="15" customHeight="1" x14ac:dyDescent="0.3">
      <c r="A31" s="7" t="s">
        <v>132</v>
      </c>
      <c r="B31" s="7" t="s">
        <v>76</v>
      </c>
      <c r="C31" s="8">
        <v>46030</v>
      </c>
      <c r="D31" s="7" t="s">
        <v>16</v>
      </c>
      <c r="E31" s="9">
        <v>957</v>
      </c>
      <c r="F31" s="7" t="s">
        <v>77</v>
      </c>
      <c r="G31" s="7" t="s">
        <v>78</v>
      </c>
      <c r="H31" s="7" t="s">
        <v>79</v>
      </c>
      <c r="I31" s="7" t="s">
        <v>80</v>
      </c>
      <c r="J31" s="7" t="str">
        <f>INDEX(Restaurants!$B$2:$B$23,MATCH(I31,Restaurants!$A$2:$A$23,0))</f>
        <v>Bong Bhoj</v>
      </c>
      <c r="K31" s="7" t="str">
        <f>INDEX(Restaurants!$D$2:$D$23,MATCH(I31,Restaurants!$A$2:$A$23,0))</f>
        <v>Bengali</v>
      </c>
    </row>
    <row r="32" spans="1:11" ht="15" customHeight="1" x14ac:dyDescent="0.3">
      <c r="A32" s="7" t="s">
        <v>133</v>
      </c>
      <c r="B32" s="7" t="s">
        <v>51</v>
      </c>
      <c r="C32" s="8">
        <v>46031</v>
      </c>
      <c r="D32" s="7" t="s">
        <v>16</v>
      </c>
      <c r="E32" s="9">
        <v>862.86</v>
      </c>
      <c r="F32" s="7" t="s">
        <v>134</v>
      </c>
      <c r="G32" s="7" t="s">
        <v>135</v>
      </c>
      <c r="H32" s="7" t="s">
        <v>136</v>
      </c>
      <c r="I32" s="7" t="s">
        <v>137</v>
      </c>
      <c r="J32" s="7" t="str">
        <f>INDEX(Restaurants!$B$2:$B$23,MATCH(I32,Restaurants!$A$2:$A$23,0))</f>
        <v>Nawabi Nights</v>
      </c>
      <c r="K32" s="7" t="str">
        <f>INDEX(Restaurants!$D$2:$D$23,MATCH(I32,Restaurants!$A$2:$A$23,0))</f>
        <v>Mughlai</v>
      </c>
    </row>
    <row r="33" spans="1:11" ht="15" customHeight="1" x14ac:dyDescent="0.3">
      <c r="A33" s="7" t="s">
        <v>138</v>
      </c>
      <c r="B33" s="7" t="s">
        <v>76</v>
      </c>
      <c r="C33" s="8">
        <v>46031</v>
      </c>
      <c r="D33" s="7" t="s">
        <v>16</v>
      </c>
      <c r="E33" s="9">
        <v>419.48</v>
      </c>
      <c r="F33" s="7" t="s">
        <v>117</v>
      </c>
      <c r="G33" s="7" t="s">
        <v>118</v>
      </c>
      <c r="H33" s="7" t="s">
        <v>119</v>
      </c>
      <c r="I33" s="7" t="s">
        <v>139</v>
      </c>
      <c r="J33" s="7" t="str">
        <f>INDEX(Restaurants!$B$2:$B$23,MATCH(I33,Restaurants!$A$2:$A$23,0))</f>
        <v>Park Street Diner</v>
      </c>
      <c r="K33" s="7" t="str">
        <f>INDEX(Restaurants!$D$2:$D$23,MATCH(I33,Restaurants!$A$2:$A$23,0))</f>
        <v>Continental</v>
      </c>
    </row>
    <row r="34" spans="1:11" ht="15" customHeight="1" x14ac:dyDescent="0.3">
      <c r="A34" s="7" t="s">
        <v>140</v>
      </c>
      <c r="B34" s="7" t="s">
        <v>121</v>
      </c>
      <c r="C34" s="8">
        <v>46031</v>
      </c>
      <c r="D34" s="7" t="s">
        <v>35</v>
      </c>
      <c r="E34" s="9">
        <v>1167.47</v>
      </c>
      <c r="F34" s="7" t="s">
        <v>122</v>
      </c>
      <c r="G34" s="7" t="s">
        <v>123</v>
      </c>
      <c r="H34" s="7" t="s">
        <v>124</v>
      </c>
      <c r="I34" s="7" t="s">
        <v>125</v>
      </c>
      <c r="J34" s="7" t="str">
        <f>INDEX(Restaurants!$B$2:$B$23,MATCH(I34,Restaurants!$A$2:$A$23,0))</f>
        <v>Karim's Kitchen</v>
      </c>
      <c r="K34" s="7" t="str">
        <f>INDEX(Restaurants!$D$2:$D$23,MATCH(I34,Restaurants!$A$2:$A$23,0))</f>
        <v>Mughlai</v>
      </c>
    </row>
    <row r="35" spans="1:11" ht="15" customHeight="1" x14ac:dyDescent="0.3">
      <c r="A35" s="7" t="s">
        <v>141</v>
      </c>
      <c r="B35" s="7" t="s">
        <v>15</v>
      </c>
      <c r="C35" s="8">
        <v>46031</v>
      </c>
      <c r="D35" s="7" t="s">
        <v>16</v>
      </c>
      <c r="E35" s="9">
        <v>817.09</v>
      </c>
      <c r="F35" s="7" t="s">
        <v>17</v>
      </c>
      <c r="G35" s="7" t="s">
        <v>18</v>
      </c>
      <c r="H35" s="7" t="s">
        <v>19</v>
      </c>
      <c r="I35" s="7" t="s">
        <v>49</v>
      </c>
      <c r="J35" s="7" t="str">
        <f>INDEX(Restaurants!$B$2:$B$23,MATCH(I35,Restaurants!$A$2:$A$23,0))</f>
        <v>Bombay Bites</v>
      </c>
      <c r="K35" s="7" t="str">
        <f>INDEX(Restaurants!$D$2:$D$23,MATCH(I35,Restaurants!$A$2:$A$23,0))</f>
        <v>Street Food</v>
      </c>
    </row>
    <row r="36" spans="1:11" ht="15" customHeight="1" x14ac:dyDescent="0.3">
      <c r="A36" s="7" t="s">
        <v>142</v>
      </c>
      <c r="B36" s="7" t="s">
        <v>121</v>
      </c>
      <c r="C36" s="8">
        <v>46031</v>
      </c>
      <c r="D36" s="7" t="s">
        <v>16</v>
      </c>
      <c r="E36" s="9">
        <v>702.92</v>
      </c>
      <c r="F36" s="7" t="s">
        <v>143</v>
      </c>
      <c r="G36" s="7" t="s">
        <v>144</v>
      </c>
      <c r="H36" s="7" t="s">
        <v>145</v>
      </c>
      <c r="I36" s="7" t="s">
        <v>146</v>
      </c>
      <c r="J36" s="7" t="str">
        <f>INDEX(Restaurants!$B$2:$B$23,MATCH(I36,Restaurants!$A$2:$A$23,0))</f>
        <v>Delhi Darbar</v>
      </c>
      <c r="K36" s="7" t="str">
        <f>INDEX(Restaurants!$D$2:$D$23,MATCH(I36,Restaurants!$A$2:$A$23,0))</f>
        <v>North Indian</v>
      </c>
    </row>
    <row r="37" spans="1:11" ht="15" customHeight="1" x14ac:dyDescent="0.3">
      <c r="A37" s="7" t="s">
        <v>147</v>
      </c>
      <c r="B37" s="7" t="s">
        <v>15</v>
      </c>
      <c r="C37" s="8">
        <v>46031</v>
      </c>
      <c r="D37" s="7" t="s">
        <v>16</v>
      </c>
      <c r="E37" s="9">
        <v>212.1</v>
      </c>
      <c r="F37" s="7" t="s">
        <v>87</v>
      </c>
      <c r="G37" s="7" t="s">
        <v>88</v>
      </c>
      <c r="H37" s="7" t="s">
        <v>89</v>
      </c>
      <c r="I37" s="7" t="s">
        <v>20</v>
      </c>
      <c r="J37" s="7" t="str">
        <f>INDEX(Restaurants!$B$2:$B$23,MATCH(I37,Restaurants!$A$2:$A$23,0))</f>
        <v>Sea Breeze Grill</v>
      </c>
      <c r="K37" s="7" t="str">
        <f>INDEX(Restaurants!$D$2:$D$23,MATCH(I37,Restaurants!$A$2:$A$23,0))</f>
        <v>Seafood</v>
      </c>
    </row>
    <row r="38" spans="1:11" ht="15" customHeight="1" x14ac:dyDescent="0.3">
      <c r="A38" s="7" t="s">
        <v>148</v>
      </c>
      <c r="B38" s="7" t="s">
        <v>15</v>
      </c>
      <c r="C38" s="8">
        <v>46032</v>
      </c>
      <c r="D38" s="7" t="s">
        <v>16</v>
      </c>
      <c r="E38" s="9">
        <v>486.25</v>
      </c>
      <c r="F38" s="7" t="s">
        <v>87</v>
      </c>
      <c r="G38" s="7" t="s">
        <v>88</v>
      </c>
      <c r="H38" s="7" t="s">
        <v>89</v>
      </c>
      <c r="I38" s="7" t="s">
        <v>49</v>
      </c>
      <c r="J38" s="7" t="str">
        <f>INDEX(Restaurants!$B$2:$B$23,MATCH(I38,Restaurants!$A$2:$A$23,0))</f>
        <v>Bombay Bites</v>
      </c>
      <c r="K38" s="7" t="str">
        <f>INDEX(Restaurants!$D$2:$D$23,MATCH(I38,Restaurants!$A$2:$A$23,0))</f>
        <v>Street Food</v>
      </c>
    </row>
    <row r="39" spans="1:11" ht="15" customHeight="1" x14ac:dyDescent="0.3">
      <c r="A39" s="7" t="s">
        <v>149</v>
      </c>
      <c r="B39" s="7" t="s">
        <v>63</v>
      </c>
      <c r="C39" s="8">
        <v>46032</v>
      </c>
      <c r="D39" s="7" t="s">
        <v>16</v>
      </c>
      <c r="E39" s="9">
        <v>515.83000000000004</v>
      </c>
      <c r="F39" s="7" t="s">
        <v>150</v>
      </c>
      <c r="G39" s="7" t="s">
        <v>151</v>
      </c>
      <c r="H39" s="7" t="s">
        <v>152</v>
      </c>
      <c r="I39" s="7" t="s">
        <v>68</v>
      </c>
      <c r="J39" s="7" t="str">
        <f>INDEX(Restaurants!$B$2:$B$23,MATCH(I39,Restaurants!$A$2:$A$23,0))</f>
        <v>Puneri Misal House</v>
      </c>
      <c r="K39" s="7" t="str">
        <f>INDEX(Restaurants!$D$2:$D$23,MATCH(I39,Restaurants!$A$2:$A$23,0))</f>
        <v>Maharashtrian</v>
      </c>
    </row>
    <row r="40" spans="1:11" ht="15" customHeight="1" x14ac:dyDescent="0.3">
      <c r="A40" s="7" t="s">
        <v>153</v>
      </c>
      <c r="B40" s="7" t="s">
        <v>57</v>
      </c>
      <c r="C40" s="8">
        <v>46033</v>
      </c>
      <c r="D40" s="7" t="s">
        <v>16</v>
      </c>
      <c r="E40" s="9">
        <v>663.58</v>
      </c>
      <c r="F40" s="7" t="s">
        <v>58</v>
      </c>
      <c r="G40" s="7" t="s">
        <v>59</v>
      </c>
      <c r="H40" s="7" t="s">
        <v>60</v>
      </c>
      <c r="I40" s="7" t="s">
        <v>154</v>
      </c>
      <c r="J40" s="7" t="str">
        <f>INDEX(Restaurants!$B$2:$B$23,MATCH(I40,Restaurants!$A$2:$A$23,0))</f>
        <v>Kerala Backwater Kitchen</v>
      </c>
      <c r="K40" s="7" t="str">
        <f>INDEX(Restaurants!$D$2:$D$23,MATCH(I40,Restaurants!$A$2:$A$23,0))</f>
        <v>Kerala</v>
      </c>
    </row>
    <row r="41" spans="1:11" ht="15" customHeight="1" x14ac:dyDescent="0.3">
      <c r="A41" s="7" t="s">
        <v>155</v>
      </c>
      <c r="B41" s="7" t="s">
        <v>91</v>
      </c>
      <c r="C41" s="8">
        <v>46033</v>
      </c>
      <c r="D41" s="7" t="s">
        <v>16</v>
      </c>
      <c r="E41" s="9">
        <v>486.36</v>
      </c>
      <c r="F41" s="7" t="s">
        <v>156</v>
      </c>
      <c r="G41" s="7" t="s">
        <v>157</v>
      </c>
      <c r="H41" s="7" t="s">
        <v>158</v>
      </c>
      <c r="I41" s="7" t="s">
        <v>130</v>
      </c>
      <c r="J41" s="7" t="str">
        <f>INDEX(Restaurants!$B$2:$B$23,MATCH(I41,Restaurants!$A$2:$A$23,0))</f>
        <v>Pink City Rasoi</v>
      </c>
      <c r="K41" s="7" t="str">
        <f>INDEX(Restaurants!$D$2:$D$23,MATCH(I41,Restaurants!$A$2:$A$23,0))</f>
        <v>Rajasthani</v>
      </c>
    </row>
    <row r="42" spans="1:11" ht="15" customHeight="1" x14ac:dyDescent="0.3">
      <c r="A42" s="7" t="s">
        <v>159</v>
      </c>
      <c r="B42" s="7" t="s">
        <v>91</v>
      </c>
      <c r="C42" s="8">
        <v>46033</v>
      </c>
      <c r="D42" s="7" t="s">
        <v>64</v>
      </c>
      <c r="E42" s="9">
        <v>1127.07</v>
      </c>
      <c r="F42" s="7" t="s">
        <v>156</v>
      </c>
      <c r="G42" s="7" t="s">
        <v>157</v>
      </c>
      <c r="H42" s="7" t="s">
        <v>158</v>
      </c>
      <c r="I42" s="7" t="s">
        <v>95</v>
      </c>
      <c r="J42" s="7" t="str">
        <f>INDEX(Restaurants!$B$2:$B$23,MATCH(I42,Restaurants!$A$2:$A$23,0))</f>
        <v>Royal Thali Palace</v>
      </c>
      <c r="K42" s="7" t="str">
        <f>INDEX(Restaurants!$D$2:$D$23,MATCH(I42,Restaurants!$A$2:$A$23,0))</f>
        <v>Rajasthani</v>
      </c>
    </row>
    <row r="43" spans="1:11" ht="15" customHeight="1" x14ac:dyDescent="0.3">
      <c r="A43" s="7" t="s">
        <v>160</v>
      </c>
      <c r="B43" s="7" t="s">
        <v>34</v>
      </c>
      <c r="C43" s="8">
        <v>46034</v>
      </c>
      <c r="D43" s="7" t="s">
        <v>16</v>
      </c>
      <c r="E43" s="9">
        <v>762.63</v>
      </c>
      <c r="F43" s="7" t="s">
        <v>100</v>
      </c>
      <c r="G43" s="7" t="s">
        <v>101</v>
      </c>
      <c r="H43" s="7" t="s">
        <v>102</v>
      </c>
      <c r="I43" s="7" t="s">
        <v>103</v>
      </c>
      <c r="J43" s="7" t="str">
        <f>INDEX(Restaurants!$B$2:$B$23,MATCH(I43,Restaurants!$A$2:$A$23,0))</f>
        <v>Namma Bangalore Cafe</v>
      </c>
      <c r="K43" s="7" t="str">
        <f>INDEX(Restaurants!$D$2:$D$23,MATCH(I43,Restaurants!$A$2:$A$23,0))</f>
        <v>South Indian</v>
      </c>
    </row>
    <row r="44" spans="1:11" ht="15" customHeight="1" x14ac:dyDescent="0.3">
      <c r="A44" s="7" t="s">
        <v>161</v>
      </c>
      <c r="B44" s="7" t="s">
        <v>15</v>
      </c>
      <c r="C44" s="8">
        <v>46034</v>
      </c>
      <c r="D44" s="7" t="s">
        <v>16</v>
      </c>
      <c r="E44" s="9">
        <v>758.12</v>
      </c>
      <c r="F44" s="7" t="s">
        <v>17</v>
      </c>
      <c r="G44" s="7" t="s">
        <v>18</v>
      </c>
      <c r="H44" s="7" t="s">
        <v>19</v>
      </c>
      <c r="I44" s="7" t="s">
        <v>49</v>
      </c>
      <c r="J44" s="7" t="str">
        <f>INDEX(Restaurants!$B$2:$B$23,MATCH(I44,Restaurants!$A$2:$A$23,0))</f>
        <v>Bombay Bites</v>
      </c>
      <c r="K44" s="7" t="str">
        <f>INDEX(Restaurants!$D$2:$D$23,MATCH(I44,Restaurants!$A$2:$A$23,0))</f>
        <v>Street Food</v>
      </c>
    </row>
    <row r="45" spans="1:11" ht="15" customHeight="1" x14ac:dyDescent="0.3">
      <c r="A45" s="7" t="s">
        <v>162</v>
      </c>
      <c r="B45" s="7" t="s">
        <v>63</v>
      </c>
      <c r="C45" s="8">
        <v>46034</v>
      </c>
      <c r="D45" s="7" t="s">
        <v>16</v>
      </c>
      <c r="E45" s="9">
        <v>659.48</v>
      </c>
      <c r="F45" s="7" t="s">
        <v>82</v>
      </c>
      <c r="G45" s="7" t="s">
        <v>83</v>
      </c>
      <c r="H45" s="7" t="s">
        <v>84</v>
      </c>
      <c r="I45" s="7" t="s">
        <v>68</v>
      </c>
      <c r="J45" s="7" t="str">
        <f>INDEX(Restaurants!$B$2:$B$23,MATCH(I45,Restaurants!$A$2:$A$23,0))</f>
        <v>Puneri Misal House</v>
      </c>
      <c r="K45" s="7" t="str">
        <f>INDEX(Restaurants!$D$2:$D$23,MATCH(I45,Restaurants!$A$2:$A$23,0))</f>
        <v>Maharashtrian</v>
      </c>
    </row>
    <row r="46" spans="1:11" ht="15" customHeight="1" x14ac:dyDescent="0.3">
      <c r="A46" s="7" t="s">
        <v>163</v>
      </c>
      <c r="B46" s="7" t="s">
        <v>70</v>
      </c>
      <c r="C46" s="8">
        <v>46034</v>
      </c>
      <c r="D46" s="7" t="s">
        <v>64</v>
      </c>
      <c r="E46" s="9">
        <v>680.32</v>
      </c>
      <c r="F46" s="7" t="s">
        <v>111</v>
      </c>
      <c r="G46" s="7" t="s">
        <v>112</v>
      </c>
      <c r="H46" s="7" t="s">
        <v>113</v>
      </c>
      <c r="I46" s="7" t="s">
        <v>114</v>
      </c>
      <c r="J46" s="7" t="str">
        <f>INDEX(Restaurants!$B$2:$B$23,MATCH(I46,Restaurants!$A$2:$A$23,0))</f>
        <v>Marina Meals</v>
      </c>
      <c r="K46" s="7" t="str">
        <f>INDEX(Restaurants!$D$2:$D$23,MATCH(I46,Restaurants!$A$2:$A$23,0))</f>
        <v>South Indian</v>
      </c>
    </row>
    <row r="47" spans="1:11" ht="15" customHeight="1" x14ac:dyDescent="0.3">
      <c r="A47" s="7" t="s">
        <v>164</v>
      </c>
      <c r="B47" s="7" t="s">
        <v>51</v>
      </c>
      <c r="C47" s="8">
        <v>46034</v>
      </c>
      <c r="D47" s="7" t="s">
        <v>16</v>
      </c>
      <c r="E47" s="9">
        <v>489.57</v>
      </c>
      <c r="F47" s="7" t="s">
        <v>52</v>
      </c>
      <c r="G47" s="7" t="s">
        <v>53</v>
      </c>
      <c r="H47" s="7" t="s">
        <v>54</v>
      </c>
      <c r="I47" s="7" t="s">
        <v>137</v>
      </c>
      <c r="J47" s="7" t="str">
        <f>INDEX(Restaurants!$B$2:$B$23,MATCH(I47,Restaurants!$A$2:$A$23,0))</f>
        <v>Nawabi Nights</v>
      </c>
      <c r="K47" s="7" t="str">
        <f>INDEX(Restaurants!$D$2:$D$23,MATCH(I47,Restaurants!$A$2:$A$23,0))</f>
        <v>Mughlai</v>
      </c>
    </row>
    <row r="48" spans="1:11" ht="15" customHeight="1" x14ac:dyDescent="0.3">
      <c r="A48" s="7" t="s">
        <v>165</v>
      </c>
      <c r="B48" s="7" t="s">
        <v>22</v>
      </c>
      <c r="C48" s="8">
        <v>46035</v>
      </c>
      <c r="D48" s="7" t="s">
        <v>35</v>
      </c>
      <c r="E48" s="9">
        <v>229.54</v>
      </c>
      <c r="F48" s="7" t="s">
        <v>41</v>
      </c>
      <c r="G48" s="7" t="s">
        <v>42</v>
      </c>
      <c r="H48" s="7" t="s">
        <v>43</v>
      </c>
      <c r="I48" s="7" t="s">
        <v>26</v>
      </c>
      <c r="J48" s="7" t="str">
        <f>INDEX(Restaurants!$B$2:$B$23,MATCH(I48,Restaurants!$A$2:$A$23,0))</f>
        <v>Nizam's Table</v>
      </c>
      <c r="K48" s="7" t="str">
        <f>INDEX(Restaurants!$D$2:$D$23,MATCH(I48,Restaurants!$A$2:$A$23,0))</f>
        <v>Mughlai</v>
      </c>
    </row>
    <row r="49" spans="1:11" ht="15" customHeight="1" x14ac:dyDescent="0.3">
      <c r="A49" s="7" t="s">
        <v>166</v>
      </c>
      <c r="B49" s="7" t="s">
        <v>63</v>
      </c>
      <c r="C49" s="8">
        <v>46037</v>
      </c>
      <c r="D49" s="7" t="s">
        <v>35</v>
      </c>
      <c r="E49" s="9">
        <v>1149.23</v>
      </c>
      <c r="F49" s="7" t="s">
        <v>150</v>
      </c>
      <c r="G49" s="7" t="s">
        <v>151</v>
      </c>
      <c r="H49" s="7" t="s">
        <v>152</v>
      </c>
      <c r="I49" s="7" t="s">
        <v>85</v>
      </c>
      <c r="J49" s="7" t="str">
        <f>INDEX(Restaurants!$B$2:$B$23,MATCH(I49,Restaurants!$A$2:$A$23,0))</f>
        <v>Deccan Diner</v>
      </c>
      <c r="K49" s="7" t="str">
        <f>INDEX(Restaurants!$D$2:$D$23,MATCH(I49,Restaurants!$A$2:$A$23,0))</f>
        <v>Continental</v>
      </c>
    </row>
    <row r="50" spans="1:11" ht="15" customHeight="1" x14ac:dyDescent="0.3">
      <c r="A50" s="7" t="s">
        <v>167</v>
      </c>
      <c r="B50" s="7" t="s">
        <v>28</v>
      </c>
      <c r="C50" s="8">
        <v>46037</v>
      </c>
      <c r="D50" s="7" t="s">
        <v>16</v>
      </c>
      <c r="E50" s="9">
        <v>693.46</v>
      </c>
      <c r="F50" s="7" t="s">
        <v>168</v>
      </c>
      <c r="G50" s="7" t="s">
        <v>169</v>
      </c>
      <c r="H50" s="7" t="s">
        <v>170</v>
      </c>
      <c r="I50" s="7" t="s">
        <v>171</v>
      </c>
      <c r="J50" s="7" t="str">
        <f>INDEX(Restaurants!$B$2:$B$23,MATCH(I50,Restaurants!$A$2:$A$23,0))</f>
        <v>Manek Chowk Bites</v>
      </c>
      <c r="K50" s="7" t="str">
        <f>INDEX(Restaurants!$D$2:$D$23,MATCH(I50,Restaurants!$A$2:$A$23,0))</f>
        <v>Street Food</v>
      </c>
    </row>
    <row r="51" spans="1:11" ht="15" customHeight="1" x14ac:dyDescent="0.3">
      <c r="A51" s="7" t="s">
        <v>172</v>
      </c>
      <c r="B51" s="7" t="s">
        <v>121</v>
      </c>
      <c r="C51" s="8">
        <v>46037</v>
      </c>
      <c r="D51" s="7" t="s">
        <v>16</v>
      </c>
      <c r="E51" s="9">
        <v>436.83</v>
      </c>
      <c r="F51" s="7" t="s">
        <v>173</v>
      </c>
      <c r="G51" s="7" t="s">
        <v>174</v>
      </c>
      <c r="H51" s="7" t="s">
        <v>175</v>
      </c>
      <c r="I51" s="7" t="s">
        <v>125</v>
      </c>
      <c r="J51" s="7" t="str">
        <f>INDEX(Restaurants!$B$2:$B$23,MATCH(I51,Restaurants!$A$2:$A$23,0))</f>
        <v>Karim's Kitchen</v>
      </c>
      <c r="K51" s="7" t="str">
        <f>INDEX(Restaurants!$D$2:$D$23,MATCH(I51,Restaurants!$A$2:$A$23,0))</f>
        <v>Mughlai</v>
      </c>
    </row>
    <row r="52" spans="1:11" ht="15" customHeight="1" x14ac:dyDescent="0.3">
      <c r="A52" s="7" t="s">
        <v>176</v>
      </c>
      <c r="B52" s="7" t="s">
        <v>34</v>
      </c>
      <c r="C52" s="8">
        <v>46037</v>
      </c>
      <c r="D52" s="7" t="s">
        <v>16</v>
      </c>
      <c r="E52" s="9">
        <v>651.26</v>
      </c>
      <c r="F52" s="7" t="s">
        <v>100</v>
      </c>
      <c r="G52" s="7" t="s">
        <v>101</v>
      </c>
      <c r="H52" s="7" t="s">
        <v>102</v>
      </c>
      <c r="I52" s="7" t="s">
        <v>103</v>
      </c>
      <c r="J52" s="7" t="str">
        <f>INDEX(Restaurants!$B$2:$B$23,MATCH(I52,Restaurants!$A$2:$A$23,0))</f>
        <v>Namma Bangalore Cafe</v>
      </c>
      <c r="K52" s="7" t="str">
        <f>INDEX(Restaurants!$D$2:$D$23,MATCH(I52,Restaurants!$A$2:$A$23,0))</f>
        <v>South Indian</v>
      </c>
    </row>
    <row r="53" spans="1:11" ht="15" customHeight="1" x14ac:dyDescent="0.3">
      <c r="A53" s="7" t="s">
        <v>177</v>
      </c>
      <c r="B53" s="7" t="s">
        <v>63</v>
      </c>
      <c r="C53" s="8">
        <v>46038</v>
      </c>
      <c r="D53" s="7" t="s">
        <v>35</v>
      </c>
      <c r="E53" s="9">
        <v>376.26</v>
      </c>
      <c r="F53" s="7" t="s">
        <v>65</v>
      </c>
      <c r="G53" s="7" t="s">
        <v>66</v>
      </c>
      <c r="H53" s="7" t="s">
        <v>67</v>
      </c>
      <c r="I53" s="7" t="s">
        <v>85</v>
      </c>
      <c r="J53" s="7" t="str">
        <f>INDEX(Restaurants!$B$2:$B$23,MATCH(I53,Restaurants!$A$2:$A$23,0))</f>
        <v>Deccan Diner</v>
      </c>
      <c r="K53" s="7" t="str">
        <f>INDEX(Restaurants!$D$2:$D$23,MATCH(I53,Restaurants!$A$2:$A$23,0))</f>
        <v>Continental</v>
      </c>
    </row>
    <row r="54" spans="1:11" ht="15" customHeight="1" x14ac:dyDescent="0.3">
      <c r="A54" s="7" t="s">
        <v>178</v>
      </c>
      <c r="B54" s="7" t="s">
        <v>15</v>
      </c>
      <c r="C54" s="8">
        <v>46039</v>
      </c>
      <c r="D54" s="7" t="s">
        <v>35</v>
      </c>
      <c r="E54" s="9">
        <v>300.14999999999998</v>
      </c>
      <c r="F54" s="7" t="s">
        <v>17</v>
      </c>
      <c r="G54" s="7" t="s">
        <v>18</v>
      </c>
      <c r="H54" s="7" t="s">
        <v>19</v>
      </c>
      <c r="I54" s="7" t="s">
        <v>20</v>
      </c>
      <c r="J54" s="7" t="str">
        <f>INDEX(Restaurants!$B$2:$B$23,MATCH(I54,Restaurants!$A$2:$A$23,0))</f>
        <v>Sea Breeze Grill</v>
      </c>
      <c r="K54" s="7" t="str">
        <f>INDEX(Restaurants!$D$2:$D$23,MATCH(I54,Restaurants!$A$2:$A$23,0))</f>
        <v>Seafood</v>
      </c>
    </row>
    <row r="55" spans="1:11" ht="15" customHeight="1" x14ac:dyDescent="0.3">
      <c r="A55" s="7" t="s">
        <v>179</v>
      </c>
      <c r="B55" s="7" t="s">
        <v>15</v>
      </c>
      <c r="C55" s="8">
        <v>46039</v>
      </c>
      <c r="D55" s="7" t="s">
        <v>16</v>
      </c>
      <c r="E55" s="9">
        <v>437.3</v>
      </c>
      <c r="F55" s="7" t="s">
        <v>87</v>
      </c>
      <c r="G55" s="7" t="s">
        <v>88</v>
      </c>
      <c r="H55" s="7" t="s">
        <v>89</v>
      </c>
      <c r="I55" s="7" t="s">
        <v>20</v>
      </c>
      <c r="J55" s="7" t="str">
        <f>INDEX(Restaurants!$B$2:$B$23,MATCH(I55,Restaurants!$A$2:$A$23,0))</f>
        <v>Sea Breeze Grill</v>
      </c>
      <c r="K55" s="7" t="str">
        <f>INDEX(Restaurants!$D$2:$D$23,MATCH(I55,Restaurants!$A$2:$A$23,0))</f>
        <v>Seafood</v>
      </c>
    </row>
    <row r="56" spans="1:11" ht="15" customHeight="1" x14ac:dyDescent="0.3">
      <c r="A56" s="7" t="s">
        <v>180</v>
      </c>
      <c r="B56" s="7" t="s">
        <v>15</v>
      </c>
      <c r="C56" s="8">
        <v>46039</v>
      </c>
      <c r="D56" s="7" t="s">
        <v>16</v>
      </c>
      <c r="E56" s="9">
        <v>1080.49</v>
      </c>
      <c r="F56" s="7" t="s">
        <v>46</v>
      </c>
      <c r="G56" s="7" t="s">
        <v>47</v>
      </c>
      <c r="H56" s="7" t="s">
        <v>48</v>
      </c>
      <c r="I56" s="7" t="s">
        <v>20</v>
      </c>
      <c r="J56" s="7" t="str">
        <f>INDEX(Restaurants!$B$2:$B$23,MATCH(I56,Restaurants!$A$2:$A$23,0))</f>
        <v>Sea Breeze Grill</v>
      </c>
      <c r="K56" s="7" t="str">
        <f>INDEX(Restaurants!$D$2:$D$23,MATCH(I56,Restaurants!$A$2:$A$23,0))</f>
        <v>Seafood</v>
      </c>
    </row>
    <row r="57" spans="1:11" ht="15" customHeight="1" x14ac:dyDescent="0.3">
      <c r="A57" s="7" t="s">
        <v>181</v>
      </c>
      <c r="B57" s="7" t="s">
        <v>63</v>
      </c>
      <c r="C57" s="8">
        <v>46039</v>
      </c>
      <c r="D57" s="7" t="s">
        <v>16</v>
      </c>
      <c r="E57" s="9">
        <v>918.64</v>
      </c>
      <c r="F57" s="7" t="s">
        <v>150</v>
      </c>
      <c r="G57" s="7" t="s">
        <v>151</v>
      </c>
      <c r="H57" s="7" t="s">
        <v>152</v>
      </c>
      <c r="I57" s="7" t="s">
        <v>85</v>
      </c>
      <c r="J57" s="7" t="str">
        <f>INDEX(Restaurants!$B$2:$B$23,MATCH(I57,Restaurants!$A$2:$A$23,0))</f>
        <v>Deccan Diner</v>
      </c>
      <c r="K57" s="7" t="str">
        <f>INDEX(Restaurants!$D$2:$D$23,MATCH(I57,Restaurants!$A$2:$A$23,0))</f>
        <v>Continental</v>
      </c>
    </row>
    <row r="58" spans="1:11" ht="15" customHeight="1" x14ac:dyDescent="0.3">
      <c r="A58" s="7" t="s">
        <v>182</v>
      </c>
      <c r="B58" s="7" t="s">
        <v>91</v>
      </c>
      <c r="C58" s="8">
        <v>46039</v>
      </c>
      <c r="D58" s="7" t="s">
        <v>16</v>
      </c>
      <c r="E58" s="9">
        <v>468.96</v>
      </c>
      <c r="F58" s="7" t="s">
        <v>156</v>
      </c>
      <c r="G58" s="7" t="s">
        <v>157</v>
      </c>
      <c r="H58" s="7" t="s">
        <v>158</v>
      </c>
      <c r="I58" s="7" t="s">
        <v>130</v>
      </c>
      <c r="J58" s="7" t="str">
        <f>INDEX(Restaurants!$B$2:$B$23,MATCH(I58,Restaurants!$A$2:$A$23,0))</f>
        <v>Pink City Rasoi</v>
      </c>
      <c r="K58" s="7" t="str">
        <f>INDEX(Restaurants!$D$2:$D$23,MATCH(I58,Restaurants!$A$2:$A$23,0))</f>
        <v>Rajasthani</v>
      </c>
    </row>
    <row r="59" spans="1:11" ht="15" customHeight="1" x14ac:dyDescent="0.3">
      <c r="A59" s="7" t="s">
        <v>183</v>
      </c>
      <c r="B59" s="7" t="s">
        <v>121</v>
      </c>
      <c r="C59" s="8">
        <v>46039</v>
      </c>
      <c r="D59" s="7" t="s">
        <v>64</v>
      </c>
      <c r="E59" s="9">
        <v>383.51</v>
      </c>
      <c r="F59" s="7" t="s">
        <v>143</v>
      </c>
      <c r="G59" s="7" t="s">
        <v>144</v>
      </c>
      <c r="H59" s="7" t="s">
        <v>145</v>
      </c>
      <c r="I59" s="7" t="s">
        <v>146</v>
      </c>
      <c r="J59" s="7" t="str">
        <f>INDEX(Restaurants!$B$2:$B$23,MATCH(I59,Restaurants!$A$2:$A$23,0))</f>
        <v>Delhi Darbar</v>
      </c>
      <c r="K59" s="7" t="str">
        <f>INDEX(Restaurants!$D$2:$D$23,MATCH(I59,Restaurants!$A$2:$A$23,0))</f>
        <v>North Indian</v>
      </c>
    </row>
    <row r="60" spans="1:11" ht="15" customHeight="1" x14ac:dyDescent="0.3">
      <c r="A60" s="7" t="s">
        <v>184</v>
      </c>
      <c r="B60" s="7" t="s">
        <v>22</v>
      </c>
      <c r="C60" s="8">
        <v>46039</v>
      </c>
      <c r="D60" s="7" t="s">
        <v>16</v>
      </c>
      <c r="E60" s="9">
        <v>207.44</v>
      </c>
      <c r="F60" s="7" t="s">
        <v>41</v>
      </c>
      <c r="G60" s="7" t="s">
        <v>42</v>
      </c>
      <c r="H60" s="7" t="s">
        <v>43</v>
      </c>
      <c r="I60" s="7" t="s">
        <v>98</v>
      </c>
      <c r="J60" s="7" t="str">
        <f>INDEX(Restaurants!$B$2:$B$23,MATCH(I60,Restaurants!$A$2:$A$23,0))</f>
        <v>Hyderabadi Biryani House</v>
      </c>
      <c r="K60" s="7" t="str">
        <f>INDEX(Restaurants!$D$2:$D$23,MATCH(I60,Restaurants!$A$2:$A$23,0))</f>
        <v>Biryani</v>
      </c>
    </row>
    <row r="61" spans="1:11" ht="15" customHeight="1" x14ac:dyDescent="0.3">
      <c r="A61" s="7" t="s">
        <v>185</v>
      </c>
      <c r="B61" s="7" t="s">
        <v>121</v>
      </c>
      <c r="C61" s="8">
        <v>46040</v>
      </c>
      <c r="D61" s="7" t="s">
        <v>16</v>
      </c>
      <c r="E61" s="9">
        <v>634.74</v>
      </c>
      <c r="F61" s="7" t="s">
        <v>122</v>
      </c>
      <c r="G61" s="7" t="s">
        <v>123</v>
      </c>
      <c r="H61" s="7" t="s">
        <v>124</v>
      </c>
      <c r="I61" s="7" t="s">
        <v>146</v>
      </c>
      <c r="J61" s="7" t="str">
        <f>INDEX(Restaurants!$B$2:$B$23,MATCH(I61,Restaurants!$A$2:$A$23,0))</f>
        <v>Delhi Darbar</v>
      </c>
      <c r="K61" s="7" t="str">
        <f>INDEX(Restaurants!$D$2:$D$23,MATCH(I61,Restaurants!$A$2:$A$23,0))</f>
        <v>North Indian</v>
      </c>
    </row>
    <row r="62" spans="1:11" ht="15" customHeight="1" x14ac:dyDescent="0.3">
      <c r="A62" s="7" t="s">
        <v>186</v>
      </c>
      <c r="B62" s="7" t="s">
        <v>28</v>
      </c>
      <c r="C62" s="8">
        <v>46040</v>
      </c>
      <c r="D62" s="7" t="s">
        <v>16</v>
      </c>
      <c r="E62" s="9">
        <v>1148.96</v>
      </c>
      <c r="F62" s="7" t="s">
        <v>168</v>
      </c>
      <c r="G62" s="7" t="s">
        <v>169</v>
      </c>
      <c r="H62" s="7" t="s">
        <v>170</v>
      </c>
      <c r="I62" s="7" t="s">
        <v>32</v>
      </c>
      <c r="J62" s="7" t="str">
        <f>INDEX(Restaurants!$B$2:$B$23,MATCH(I62,Restaurants!$A$2:$A$23,0))</f>
        <v>Gujarat Thali Home</v>
      </c>
      <c r="K62" s="7" t="str">
        <f>INDEX(Restaurants!$D$2:$D$23,MATCH(I62,Restaurants!$A$2:$A$23,0))</f>
        <v>Gujarati</v>
      </c>
    </row>
    <row r="63" spans="1:11" ht="15" customHeight="1" x14ac:dyDescent="0.3">
      <c r="A63" s="7" t="s">
        <v>187</v>
      </c>
      <c r="B63" s="7" t="s">
        <v>91</v>
      </c>
      <c r="C63" s="8">
        <v>46040</v>
      </c>
      <c r="D63" s="7" t="s">
        <v>16</v>
      </c>
      <c r="E63" s="9">
        <v>1051.53</v>
      </c>
      <c r="F63" s="7" t="s">
        <v>92</v>
      </c>
      <c r="G63" s="7" t="s">
        <v>93</v>
      </c>
      <c r="H63" s="7" t="s">
        <v>94</v>
      </c>
      <c r="I63" s="7" t="s">
        <v>95</v>
      </c>
      <c r="J63" s="7" t="str">
        <f>INDEX(Restaurants!$B$2:$B$23,MATCH(I63,Restaurants!$A$2:$A$23,0))</f>
        <v>Royal Thali Palace</v>
      </c>
      <c r="K63" s="7" t="str">
        <f>INDEX(Restaurants!$D$2:$D$23,MATCH(I63,Restaurants!$A$2:$A$23,0))</f>
        <v>Rajasthani</v>
      </c>
    </row>
    <row r="64" spans="1:11" ht="15" customHeight="1" x14ac:dyDescent="0.3">
      <c r="A64" s="7" t="s">
        <v>188</v>
      </c>
      <c r="B64" s="7" t="s">
        <v>15</v>
      </c>
      <c r="C64" s="8">
        <v>46041</v>
      </c>
      <c r="D64" s="7" t="s">
        <v>16</v>
      </c>
      <c r="E64" s="9">
        <v>335.02</v>
      </c>
      <c r="F64" s="7" t="s">
        <v>87</v>
      </c>
      <c r="G64" s="7" t="s">
        <v>88</v>
      </c>
      <c r="H64" s="7" t="s">
        <v>89</v>
      </c>
      <c r="I64" s="7" t="s">
        <v>20</v>
      </c>
      <c r="J64" s="7" t="str">
        <f>INDEX(Restaurants!$B$2:$B$23,MATCH(I64,Restaurants!$A$2:$A$23,0))</f>
        <v>Sea Breeze Grill</v>
      </c>
      <c r="K64" s="7" t="str">
        <f>INDEX(Restaurants!$D$2:$D$23,MATCH(I64,Restaurants!$A$2:$A$23,0))</f>
        <v>Seafood</v>
      </c>
    </row>
    <row r="65" spans="1:11" ht="15" customHeight="1" x14ac:dyDescent="0.3">
      <c r="A65" s="7" t="s">
        <v>189</v>
      </c>
      <c r="B65" s="7" t="s">
        <v>34</v>
      </c>
      <c r="C65" s="8">
        <v>46041</v>
      </c>
      <c r="D65" s="7" t="s">
        <v>16</v>
      </c>
      <c r="E65" s="9">
        <v>967.38</v>
      </c>
      <c r="F65" s="7" t="s">
        <v>100</v>
      </c>
      <c r="G65" s="7" t="s">
        <v>101</v>
      </c>
      <c r="H65" s="7" t="s">
        <v>102</v>
      </c>
      <c r="I65" s="7" t="s">
        <v>39</v>
      </c>
      <c r="J65" s="7" t="str">
        <f>INDEX(Restaurants!$B$2:$B$23,MATCH(I65,Restaurants!$A$2:$A$23,0))</f>
        <v>Silicon Spice</v>
      </c>
      <c r="K65" s="7" t="str">
        <f>INDEX(Restaurants!$D$2:$D$23,MATCH(I65,Restaurants!$A$2:$A$23,0))</f>
        <v>Multi-Cuisine</v>
      </c>
    </row>
    <row r="66" spans="1:11" ht="15" customHeight="1" x14ac:dyDescent="0.3">
      <c r="A66" s="7" t="s">
        <v>190</v>
      </c>
      <c r="B66" s="7" t="s">
        <v>121</v>
      </c>
      <c r="C66" s="8">
        <v>46041</v>
      </c>
      <c r="D66" s="7" t="s">
        <v>16</v>
      </c>
      <c r="E66" s="9">
        <v>208.1</v>
      </c>
      <c r="F66" s="7" t="s">
        <v>173</v>
      </c>
      <c r="G66" s="7" t="s">
        <v>174</v>
      </c>
      <c r="H66" s="7" t="s">
        <v>175</v>
      </c>
      <c r="I66" s="7" t="s">
        <v>146</v>
      </c>
      <c r="J66" s="7" t="str">
        <f>INDEX(Restaurants!$B$2:$B$23,MATCH(I66,Restaurants!$A$2:$A$23,0))</f>
        <v>Delhi Darbar</v>
      </c>
      <c r="K66" s="7" t="str">
        <f>INDEX(Restaurants!$D$2:$D$23,MATCH(I66,Restaurants!$A$2:$A$23,0))</f>
        <v>North Indian</v>
      </c>
    </row>
    <row r="67" spans="1:11" ht="15" customHeight="1" x14ac:dyDescent="0.3">
      <c r="A67" s="7" t="s">
        <v>191</v>
      </c>
      <c r="B67" s="7" t="s">
        <v>28</v>
      </c>
      <c r="C67" s="8">
        <v>46041</v>
      </c>
      <c r="D67" s="7" t="s">
        <v>16</v>
      </c>
      <c r="E67" s="9">
        <v>344.89</v>
      </c>
      <c r="F67" s="7" t="s">
        <v>168</v>
      </c>
      <c r="G67" s="7" t="s">
        <v>169</v>
      </c>
      <c r="H67" s="7" t="s">
        <v>170</v>
      </c>
      <c r="I67" s="7" t="s">
        <v>32</v>
      </c>
      <c r="J67" s="7" t="str">
        <f>INDEX(Restaurants!$B$2:$B$23,MATCH(I67,Restaurants!$A$2:$A$23,0))</f>
        <v>Gujarat Thali Home</v>
      </c>
      <c r="K67" s="7" t="str">
        <f>INDEX(Restaurants!$D$2:$D$23,MATCH(I67,Restaurants!$A$2:$A$23,0))</f>
        <v>Gujarati</v>
      </c>
    </row>
    <row r="68" spans="1:11" ht="15" customHeight="1" x14ac:dyDescent="0.3">
      <c r="A68" s="7" t="s">
        <v>192</v>
      </c>
      <c r="B68" s="7" t="s">
        <v>57</v>
      </c>
      <c r="C68" s="8">
        <v>46041</v>
      </c>
      <c r="D68" s="7" t="s">
        <v>16</v>
      </c>
      <c r="E68" s="9">
        <v>224.88</v>
      </c>
      <c r="F68" s="7" t="s">
        <v>58</v>
      </c>
      <c r="G68" s="7" t="s">
        <v>59</v>
      </c>
      <c r="H68" s="7" t="s">
        <v>60</v>
      </c>
      <c r="I68" s="7" t="s">
        <v>154</v>
      </c>
      <c r="J68" s="7" t="str">
        <f>INDEX(Restaurants!$B$2:$B$23,MATCH(I68,Restaurants!$A$2:$A$23,0))</f>
        <v>Kerala Backwater Kitchen</v>
      </c>
      <c r="K68" s="7" t="str">
        <f>INDEX(Restaurants!$D$2:$D$23,MATCH(I68,Restaurants!$A$2:$A$23,0))</f>
        <v>Kerala</v>
      </c>
    </row>
    <row r="69" spans="1:11" ht="15" customHeight="1" x14ac:dyDescent="0.3">
      <c r="A69" s="7" t="s">
        <v>193</v>
      </c>
      <c r="B69" s="7" t="s">
        <v>15</v>
      </c>
      <c r="C69" s="8">
        <v>46041</v>
      </c>
      <c r="D69" s="7" t="s">
        <v>16</v>
      </c>
      <c r="E69" s="9">
        <v>1102.8</v>
      </c>
      <c r="F69" s="7" t="s">
        <v>46</v>
      </c>
      <c r="G69" s="7" t="s">
        <v>47</v>
      </c>
      <c r="H69" s="7" t="s">
        <v>48</v>
      </c>
      <c r="I69" s="7" t="s">
        <v>49</v>
      </c>
      <c r="J69" s="7" t="str">
        <f>INDEX(Restaurants!$B$2:$B$23,MATCH(I69,Restaurants!$A$2:$A$23,0))</f>
        <v>Bombay Bites</v>
      </c>
      <c r="K69" s="7" t="str">
        <f>INDEX(Restaurants!$D$2:$D$23,MATCH(I69,Restaurants!$A$2:$A$23,0))</f>
        <v>Street Food</v>
      </c>
    </row>
    <row r="70" spans="1:11" ht="15" customHeight="1" x14ac:dyDescent="0.3">
      <c r="A70" s="7" t="s">
        <v>194</v>
      </c>
      <c r="B70" s="7" t="s">
        <v>15</v>
      </c>
      <c r="C70" s="8">
        <v>46041</v>
      </c>
      <c r="D70" s="7" t="s">
        <v>45</v>
      </c>
      <c r="E70" s="9">
        <v>627.57000000000005</v>
      </c>
      <c r="F70" s="7" t="s">
        <v>17</v>
      </c>
      <c r="G70" s="7" t="s">
        <v>18</v>
      </c>
      <c r="H70" s="7" t="s">
        <v>19</v>
      </c>
      <c r="I70" s="7" t="s">
        <v>20</v>
      </c>
      <c r="J70" s="7" t="str">
        <f>INDEX(Restaurants!$B$2:$B$23,MATCH(I70,Restaurants!$A$2:$A$23,0))</f>
        <v>Sea Breeze Grill</v>
      </c>
      <c r="K70" s="7" t="str">
        <f>INDEX(Restaurants!$D$2:$D$23,MATCH(I70,Restaurants!$A$2:$A$23,0))</f>
        <v>Seafood</v>
      </c>
    </row>
    <row r="71" spans="1:11" ht="15" customHeight="1" x14ac:dyDescent="0.3">
      <c r="A71" s="7" t="s">
        <v>195</v>
      </c>
      <c r="B71" s="7" t="s">
        <v>76</v>
      </c>
      <c r="C71" s="8">
        <v>46042</v>
      </c>
      <c r="D71" s="7" t="s">
        <v>64</v>
      </c>
      <c r="E71" s="9">
        <v>984.92</v>
      </c>
      <c r="F71" s="7" t="s">
        <v>77</v>
      </c>
      <c r="G71" s="7" t="s">
        <v>78</v>
      </c>
      <c r="H71" s="7" t="s">
        <v>79</v>
      </c>
      <c r="I71" s="7" t="s">
        <v>139</v>
      </c>
      <c r="J71" s="7" t="str">
        <f>INDEX(Restaurants!$B$2:$B$23,MATCH(I71,Restaurants!$A$2:$A$23,0))</f>
        <v>Park Street Diner</v>
      </c>
      <c r="K71" s="7" t="str">
        <f>INDEX(Restaurants!$D$2:$D$23,MATCH(I71,Restaurants!$A$2:$A$23,0))</f>
        <v>Continental</v>
      </c>
    </row>
    <row r="72" spans="1:11" ht="15" customHeight="1" x14ac:dyDescent="0.3">
      <c r="A72" s="7" t="s">
        <v>196</v>
      </c>
      <c r="B72" s="7" t="s">
        <v>34</v>
      </c>
      <c r="C72" s="8">
        <v>46043</v>
      </c>
      <c r="D72" s="7" t="s">
        <v>16</v>
      </c>
      <c r="E72" s="9">
        <v>522.04</v>
      </c>
      <c r="F72" s="7" t="s">
        <v>36</v>
      </c>
      <c r="G72" s="7" t="s">
        <v>37</v>
      </c>
      <c r="H72" s="7" t="s">
        <v>38</v>
      </c>
      <c r="I72" s="7" t="s">
        <v>39</v>
      </c>
      <c r="J72" s="7" t="str">
        <f>INDEX(Restaurants!$B$2:$B$23,MATCH(I72,Restaurants!$A$2:$A$23,0))</f>
        <v>Silicon Spice</v>
      </c>
      <c r="K72" s="7" t="str">
        <f>INDEX(Restaurants!$D$2:$D$23,MATCH(I72,Restaurants!$A$2:$A$23,0))</f>
        <v>Multi-Cuisine</v>
      </c>
    </row>
    <row r="73" spans="1:11" ht="15" customHeight="1" x14ac:dyDescent="0.3">
      <c r="A73" s="7" t="s">
        <v>197</v>
      </c>
      <c r="B73" s="7" t="s">
        <v>70</v>
      </c>
      <c r="C73" s="8">
        <v>46043</v>
      </c>
      <c r="D73" s="7" t="s">
        <v>16</v>
      </c>
      <c r="E73" s="9">
        <v>342.4</v>
      </c>
      <c r="F73" s="7" t="s">
        <v>111</v>
      </c>
      <c r="G73" s="7" t="s">
        <v>112</v>
      </c>
      <c r="H73" s="7" t="s">
        <v>113</v>
      </c>
      <c r="I73" s="7" t="s">
        <v>74</v>
      </c>
      <c r="J73" s="7" t="str">
        <f>INDEX(Restaurants!$B$2:$B$23,MATCH(I73,Restaurants!$A$2:$A$23,0))</f>
        <v>Chettinad Corner</v>
      </c>
      <c r="K73" s="7" t="str">
        <f>INDEX(Restaurants!$D$2:$D$23,MATCH(I73,Restaurants!$A$2:$A$23,0))</f>
        <v>Chettinad</v>
      </c>
    </row>
    <row r="74" spans="1:11" ht="15" customHeight="1" x14ac:dyDescent="0.3">
      <c r="A74" s="7" t="s">
        <v>198</v>
      </c>
      <c r="B74" s="7" t="s">
        <v>15</v>
      </c>
      <c r="C74" s="8">
        <v>46044</v>
      </c>
      <c r="D74" s="7" t="s">
        <v>64</v>
      </c>
      <c r="E74" s="9">
        <v>515.12</v>
      </c>
      <c r="F74" s="7" t="s">
        <v>46</v>
      </c>
      <c r="G74" s="7" t="s">
        <v>47</v>
      </c>
      <c r="H74" s="7" t="s">
        <v>48</v>
      </c>
      <c r="I74" s="7" t="s">
        <v>20</v>
      </c>
      <c r="J74" s="7" t="str">
        <f>INDEX(Restaurants!$B$2:$B$23,MATCH(I74,Restaurants!$A$2:$A$23,0))</f>
        <v>Sea Breeze Grill</v>
      </c>
      <c r="K74" s="7" t="str">
        <f>INDEX(Restaurants!$D$2:$D$23,MATCH(I74,Restaurants!$A$2:$A$23,0))</f>
        <v>Seafood</v>
      </c>
    </row>
    <row r="75" spans="1:11" ht="15" customHeight="1" x14ac:dyDescent="0.3">
      <c r="A75" s="7" t="s">
        <v>199</v>
      </c>
      <c r="B75" s="7" t="s">
        <v>22</v>
      </c>
      <c r="C75" s="8">
        <v>46045</v>
      </c>
      <c r="D75" s="7" t="s">
        <v>16</v>
      </c>
      <c r="E75" s="9">
        <v>504.9</v>
      </c>
      <c r="F75" s="7" t="s">
        <v>23</v>
      </c>
      <c r="G75" s="7" t="s">
        <v>24</v>
      </c>
      <c r="H75" s="7" t="s">
        <v>25</v>
      </c>
      <c r="I75" s="7" t="s">
        <v>26</v>
      </c>
      <c r="J75" s="7" t="str">
        <f>INDEX(Restaurants!$B$2:$B$23,MATCH(I75,Restaurants!$A$2:$A$23,0))</f>
        <v>Nizam's Table</v>
      </c>
      <c r="K75" s="7" t="str">
        <f>INDEX(Restaurants!$D$2:$D$23,MATCH(I75,Restaurants!$A$2:$A$23,0))</f>
        <v>Mughlai</v>
      </c>
    </row>
    <row r="76" spans="1:11" ht="15" customHeight="1" x14ac:dyDescent="0.3">
      <c r="A76" s="7" t="s">
        <v>200</v>
      </c>
      <c r="B76" s="7" t="s">
        <v>63</v>
      </c>
      <c r="C76" s="8">
        <v>46045</v>
      </c>
      <c r="D76" s="7" t="s">
        <v>16</v>
      </c>
      <c r="E76" s="9">
        <v>1099.5999999999999</v>
      </c>
      <c r="F76" s="7" t="s">
        <v>65</v>
      </c>
      <c r="G76" s="7" t="s">
        <v>66</v>
      </c>
      <c r="H76" s="7" t="s">
        <v>67</v>
      </c>
      <c r="I76" s="7" t="s">
        <v>68</v>
      </c>
      <c r="J76" s="7" t="str">
        <f>INDEX(Restaurants!$B$2:$B$23,MATCH(I76,Restaurants!$A$2:$A$23,0))</f>
        <v>Puneri Misal House</v>
      </c>
      <c r="K76" s="7" t="str">
        <f>INDEX(Restaurants!$D$2:$D$23,MATCH(I76,Restaurants!$A$2:$A$23,0))</f>
        <v>Maharashtrian</v>
      </c>
    </row>
    <row r="77" spans="1:11" ht="15" customHeight="1" x14ac:dyDescent="0.3">
      <c r="A77" s="7" t="s">
        <v>201</v>
      </c>
      <c r="B77" s="7" t="s">
        <v>63</v>
      </c>
      <c r="C77" s="8">
        <v>46045</v>
      </c>
      <c r="D77" s="7" t="s">
        <v>16</v>
      </c>
      <c r="E77" s="9">
        <v>993.01</v>
      </c>
      <c r="F77" s="7" t="s">
        <v>150</v>
      </c>
      <c r="G77" s="7" t="s">
        <v>151</v>
      </c>
      <c r="H77" s="7" t="s">
        <v>152</v>
      </c>
      <c r="I77" s="7" t="s">
        <v>85</v>
      </c>
      <c r="J77" s="7" t="str">
        <f>INDEX(Restaurants!$B$2:$B$23,MATCH(I77,Restaurants!$A$2:$A$23,0))</f>
        <v>Deccan Diner</v>
      </c>
      <c r="K77" s="7" t="str">
        <f>INDEX(Restaurants!$D$2:$D$23,MATCH(I77,Restaurants!$A$2:$A$23,0))</f>
        <v>Continental</v>
      </c>
    </row>
    <row r="78" spans="1:11" ht="15" customHeight="1" x14ac:dyDescent="0.3">
      <c r="A78" s="7" t="s">
        <v>202</v>
      </c>
      <c r="B78" s="7" t="s">
        <v>63</v>
      </c>
      <c r="C78" s="8">
        <v>46045</v>
      </c>
      <c r="D78" s="7" t="s">
        <v>45</v>
      </c>
      <c r="E78" s="9">
        <v>432.38</v>
      </c>
      <c r="F78" s="7" t="s">
        <v>65</v>
      </c>
      <c r="G78" s="7" t="s">
        <v>66</v>
      </c>
      <c r="H78" s="7" t="s">
        <v>67</v>
      </c>
      <c r="I78" s="7" t="s">
        <v>85</v>
      </c>
      <c r="J78" s="7" t="str">
        <f>INDEX(Restaurants!$B$2:$B$23,MATCH(I78,Restaurants!$A$2:$A$23,0))</f>
        <v>Deccan Diner</v>
      </c>
      <c r="K78" s="7" t="str">
        <f>INDEX(Restaurants!$D$2:$D$23,MATCH(I78,Restaurants!$A$2:$A$23,0))</f>
        <v>Continental</v>
      </c>
    </row>
    <row r="79" spans="1:11" ht="15" customHeight="1" x14ac:dyDescent="0.3">
      <c r="A79" s="7" t="s">
        <v>203</v>
      </c>
      <c r="B79" s="7" t="s">
        <v>51</v>
      </c>
      <c r="C79" s="8">
        <v>46046</v>
      </c>
      <c r="D79" s="7" t="s">
        <v>35</v>
      </c>
      <c r="E79" s="9">
        <v>548.99</v>
      </c>
      <c r="F79" s="7" t="s">
        <v>134</v>
      </c>
      <c r="G79" s="7" t="s">
        <v>135</v>
      </c>
      <c r="H79" s="7" t="s">
        <v>136</v>
      </c>
      <c r="I79" s="7" t="s">
        <v>55</v>
      </c>
      <c r="J79" s="7" t="str">
        <f>INDEX(Restaurants!$B$2:$B$23,MATCH(I79,Restaurants!$A$2:$A$23,0))</f>
        <v>Tunday Kababi Corner</v>
      </c>
      <c r="K79" s="7" t="str">
        <f>INDEX(Restaurants!$D$2:$D$23,MATCH(I79,Restaurants!$A$2:$A$23,0))</f>
        <v>Awadhi</v>
      </c>
    </row>
    <row r="80" spans="1:11" ht="15" customHeight="1" x14ac:dyDescent="0.3">
      <c r="A80" s="7" t="s">
        <v>204</v>
      </c>
      <c r="B80" s="7" t="s">
        <v>28</v>
      </c>
      <c r="C80" s="8">
        <v>46046</v>
      </c>
      <c r="D80" s="7" t="s">
        <v>16</v>
      </c>
      <c r="E80" s="9">
        <v>256.11</v>
      </c>
      <c r="F80" s="7" t="s">
        <v>168</v>
      </c>
      <c r="G80" s="7" t="s">
        <v>169</v>
      </c>
      <c r="H80" s="7" t="s">
        <v>170</v>
      </c>
      <c r="I80" s="7" t="s">
        <v>171</v>
      </c>
      <c r="J80" s="7" t="str">
        <f>INDEX(Restaurants!$B$2:$B$23,MATCH(I80,Restaurants!$A$2:$A$23,0))</f>
        <v>Manek Chowk Bites</v>
      </c>
      <c r="K80" s="7" t="str">
        <f>INDEX(Restaurants!$D$2:$D$23,MATCH(I80,Restaurants!$A$2:$A$23,0))</f>
        <v>Street Food</v>
      </c>
    </row>
    <row r="81" spans="1:11" ht="15" customHeight="1" x14ac:dyDescent="0.3">
      <c r="A81" s="7" t="s">
        <v>205</v>
      </c>
      <c r="B81" s="7" t="s">
        <v>15</v>
      </c>
      <c r="C81" s="8">
        <v>46047</v>
      </c>
      <c r="D81" s="7" t="s">
        <v>16</v>
      </c>
      <c r="E81" s="9">
        <v>955.68</v>
      </c>
      <c r="F81" s="7" t="s">
        <v>46</v>
      </c>
      <c r="G81" s="7" t="s">
        <v>47</v>
      </c>
      <c r="H81" s="7" t="s">
        <v>48</v>
      </c>
      <c r="I81" s="7" t="s">
        <v>20</v>
      </c>
      <c r="J81" s="7" t="str">
        <f>INDEX(Restaurants!$B$2:$B$23,MATCH(I81,Restaurants!$A$2:$A$23,0))</f>
        <v>Sea Breeze Grill</v>
      </c>
      <c r="K81" s="7" t="str">
        <f>INDEX(Restaurants!$D$2:$D$23,MATCH(I81,Restaurants!$A$2:$A$23,0))</f>
        <v>Seafood</v>
      </c>
    </row>
    <row r="82" spans="1:11" ht="15" customHeight="1" x14ac:dyDescent="0.3">
      <c r="A82" s="7" t="s">
        <v>206</v>
      </c>
      <c r="B82" s="7" t="s">
        <v>121</v>
      </c>
      <c r="C82" s="8">
        <v>46047</v>
      </c>
      <c r="D82" s="7" t="s">
        <v>16</v>
      </c>
      <c r="E82" s="9">
        <v>556.08000000000004</v>
      </c>
      <c r="F82" s="7" t="s">
        <v>173</v>
      </c>
      <c r="G82" s="7" t="s">
        <v>174</v>
      </c>
      <c r="H82" s="7" t="s">
        <v>175</v>
      </c>
      <c r="I82" s="7" t="s">
        <v>125</v>
      </c>
      <c r="J82" s="7" t="str">
        <f>INDEX(Restaurants!$B$2:$B$23,MATCH(I82,Restaurants!$A$2:$A$23,0))</f>
        <v>Karim's Kitchen</v>
      </c>
      <c r="K82" s="7" t="str">
        <f>INDEX(Restaurants!$D$2:$D$23,MATCH(I82,Restaurants!$A$2:$A$23,0))</f>
        <v>Mughlai</v>
      </c>
    </row>
    <row r="83" spans="1:11" ht="15" customHeight="1" x14ac:dyDescent="0.3">
      <c r="A83" s="7" t="s">
        <v>207</v>
      </c>
      <c r="B83" s="7" t="s">
        <v>22</v>
      </c>
      <c r="C83" s="8">
        <v>46048</v>
      </c>
      <c r="D83" s="7" t="s">
        <v>16</v>
      </c>
      <c r="E83" s="9">
        <v>264.64</v>
      </c>
      <c r="F83" s="7" t="s">
        <v>23</v>
      </c>
      <c r="G83" s="7" t="s">
        <v>24</v>
      </c>
      <c r="H83" s="7" t="s">
        <v>25</v>
      </c>
      <c r="I83" s="7" t="s">
        <v>26</v>
      </c>
      <c r="J83" s="7" t="str">
        <f>INDEX(Restaurants!$B$2:$B$23,MATCH(I83,Restaurants!$A$2:$A$23,0))</f>
        <v>Nizam's Table</v>
      </c>
      <c r="K83" s="7" t="str">
        <f>INDEX(Restaurants!$D$2:$D$23,MATCH(I83,Restaurants!$A$2:$A$23,0))</f>
        <v>Mughlai</v>
      </c>
    </row>
    <row r="84" spans="1:11" ht="15" customHeight="1" x14ac:dyDescent="0.3">
      <c r="A84" s="7" t="s">
        <v>208</v>
      </c>
      <c r="B84" s="7" t="s">
        <v>34</v>
      </c>
      <c r="C84" s="8">
        <v>46048</v>
      </c>
      <c r="D84" s="7" t="s">
        <v>16</v>
      </c>
      <c r="E84" s="9">
        <v>382.6</v>
      </c>
      <c r="F84" s="7" t="s">
        <v>100</v>
      </c>
      <c r="G84" s="7" t="s">
        <v>101</v>
      </c>
      <c r="H84" s="7" t="s">
        <v>102</v>
      </c>
      <c r="I84" s="7" t="s">
        <v>103</v>
      </c>
      <c r="J84" s="7" t="str">
        <f>INDEX(Restaurants!$B$2:$B$23,MATCH(I84,Restaurants!$A$2:$A$23,0))</f>
        <v>Namma Bangalore Cafe</v>
      </c>
      <c r="K84" s="7" t="str">
        <f>INDEX(Restaurants!$D$2:$D$23,MATCH(I84,Restaurants!$A$2:$A$23,0))</f>
        <v>South Indian</v>
      </c>
    </row>
    <row r="85" spans="1:11" ht="15" customHeight="1" x14ac:dyDescent="0.3">
      <c r="A85" s="7" t="s">
        <v>209</v>
      </c>
      <c r="B85" s="7" t="s">
        <v>57</v>
      </c>
      <c r="C85" s="8">
        <v>46048</v>
      </c>
      <c r="D85" s="7" t="s">
        <v>16</v>
      </c>
      <c r="E85" s="9">
        <v>664.69</v>
      </c>
      <c r="F85" s="7" t="s">
        <v>58</v>
      </c>
      <c r="G85" s="7" t="s">
        <v>59</v>
      </c>
      <c r="H85" s="7" t="s">
        <v>60</v>
      </c>
      <c r="I85" s="7" t="s">
        <v>154</v>
      </c>
      <c r="J85" s="7" t="str">
        <f>INDEX(Restaurants!$B$2:$B$23,MATCH(I85,Restaurants!$A$2:$A$23,0))</f>
        <v>Kerala Backwater Kitchen</v>
      </c>
      <c r="K85" s="7" t="str">
        <f>INDEX(Restaurants!$D$2:$D$23,MATCH(I85,Restaurants!$A$2:$A$23,0))</f>
        <v>Kerala</v>
      </c>
    </row>
    <row r="86" spans="1:11" ht="15" customHeight="1" x14ac:dyDescent="0.3">
      <c r="A86" s="7" t="s">
        <v>210</v>
      </c>
      <c r="B86" s="7" t="s">
        <v>121</v>
      </c>
      <c r="C86" s="8">
        <v>46048</v>
      </c>
      <c r="D86" s="7" t="s">
        <v>16</v>
      </c>
      <c r="E86" s="9">
        <v>846.17</v>
      </c>
      <c r="F86" s="7" t="s">
        <v>143</v>
      </c>
      <c r="G86" s="7" t="s">
        <v>144</v>
      </c>
      <c r="H86" s="7" t="s">
        <v>145</v>
      </c>
      <c r="I86" s="7" t="s">
        <v>125</v>
      </c>
      <c r="J86" s="7" t="str">
        <f>INDEX(Restaurants!$B$2:$B$23,MATCH(I86,Restaurants!$A$2:$A$23,0))</f>
        <v>Karim's Kitchen</v>
      </c>
      <c r="K86" s="7" t="str">
        <f>INDEX(Restaurants!$D$2:$D$23,MATCH(I86,Restaurants!$A$2:$A$23,0))</f>
        <v>Mughlai</v>
      </c>
    </row>
    <row r="87" spans="1:11" ht="15" customHeight="1" x14ac:dyDescent="0.3">
      <c r="A87" s="7" t="s">
        <v>211</v>
      </c>
      <c r="B87" s="7" t="s">
        <v>34</v>
      </c>
      <c r="C87" s="8">
        <v>46048</v>
      </c>
      <c r="D87" s="7" t="s">
        <v>16</v>
      </c>
      <c r="E87" s="9">
        <v>219.59</v>
      </c>
      <c r="F87" s="7" t="s">
        <v>36</v>
      </c>
      <c r="G87" s="7" t="s">
        <v>37</v>
      </c>
      <c r="H87" s="7" t="s">
        <v>38</v>
      </c>
      <c r="I87" s="7" t="s">
        <v>39</v>
      </c>
      <c r="J87" s="7" t="str">
        <f>INDEX(Restaurants!$B$2:$B$23,MATCH(I87,Restaurants!$A$2:$A$23,0))</f>
        <v>Silicon Spice</v>
      </c>
      <c r="K87" s="7" t="str">
        <f>INDEX(Restaurants!$D$2:$D$23,MATCH(I87,Restaurants!$A$2:$A$23,0))</f>
        <v>Multi-Cuisine</v>
      </c>
    </row>
    <row r="88" spans="1:11" ht="15" customHeight="1" x14ac:dyDescent="0.3">
      <c r="A88" s="7" t="s">
        <v>212</v>
      </c>
      <c r="B88" s="7" t="s">
        <v>28</v>
      </c>
      <c r="C88" s="8">
        <v>46050</v>
      </c>
      <c r="D88" s="7" t="s">
        <v>16</v>
      </c>
      <c r="E88" s="9">
        <v>462.46</v>
      </c>
      <c r="F88" s="7" t="s">
        <v>29</v>
      </c>
      <c r="G88" s="7" t="s">
        <v>30</v>
      </c>
      <c r="H88" s="7" t="s">
        <v>31</v>
      </c>
      <c r="I88" s="7" t="s">
        <v>32</v>
      </c>
      <c r="J88" s="7" t="str">
        <f>INDEX(Restaurants!$B$2:$B$23,MATCH(I88,Restaurants!$A$2:$A$23,0))</f>
        <v>Gujarat Thali Home</v>
      </c>
      <c r="K88" s="7" t="str">
        <f>INDEX(Restaurants!$D$2:$D$23,MATCH(I88,Restaurants!$A$2:$A$23,0))</f>
        <v>Gujarati</v>
      </c>
    </row>
    <row r="89" spans="1:11" ht="15" customHeight="1" x14ac:dyDescent="0.3">
      <c r="A89" s="7" t="s">
        <v>213</v>
      </c>
      <c r="B89" s="7" t="s">
        <v>15</v>
      </c>
      <c r="C89" s="8">
        <v>46050</v>
      </c>
      <c r="D89" s="7" t="s">
        <v>45</v>
      </c>
      <c r="E89" s="9">
        <v>288.41000000000003</v>
      </c>
      <c r="F89" s="7" t="s">
        <v>87</v>
      </c>
      <c r="G89" s="7" t="s">
        <v>88</v>
      </c>
      <c r="H89" s="7" t="s">
        <v>89</v>
      </c>
      <c r="I89" s="7" t="s">
        <v>20</v>
      </c>
      <c r="J89" s="7" t="str">
        <f>INDEX(Restaurants!$B$2:$B$23,MATCH(I89,Restaurants!$A$2:$A$23,0))</f>
        <v>Sea Breeze Grill</v>
      </c>
      <c r="K89" s="7" t="str">
        <f>INDEX(Restaurants!$D$2:$D$23,MATCH(I89,Restaurants!$A$2:$A$23,0))</f>
        <v>Seafood</v>
      </c>
    </row>
    <row r="90" spans="1:11" ht="15" customHeight="1" x14ac:dyDescent="0.3">
      <c r="A90" s="7" t="s">
        <v>214</v>
      </c>
      <c r="B90" s="7" t="s">
        <v>70</v>
      </c>
      <c r="C90" s="8">
        <v>46050</v>
      </c>
      <c r="D90" s="7" t="s">
        <v>16</v>
      </c>
      <c r="E90" s="9">
        <v>408.28</v>
      </c>
      <c r="F90" s="7" t="s">
        <v>71</v>
      </c>
      <c r="G90" s="7" t="s">
        <v>72</v>
      </c>
      <c r="H90" s="7" t="s">
        <v>73</v>
      </c>
      <c r="I90" s="7" t="s">
        <v>74</v>
      </c>
      <c r="J90" s="7" t="str">
        <f>INDEX(Restaurants!$B$2:$B$23,MATCH(I90,Restaurants!$A$2:$A$23,0))</f>
        <v>Chettinad Corner</v>
      </c>
      <c r="K90" s="7" t="str">
        <f>INDEX(Restaurants!$D$2:$D$23,MATCH(I90,Restaurants!$A$2:$A$23,0))</f>
        <v>Chettinad</v>
      </c>
    </row>
    <row r="91" spans="1:11" ht="15" customHeight="1" x14ac:dyDescent="0.3">
      <c r="A91" s="7" t="s">
        <v>215</v>
      </c>
      <c r="B91" s="7" t="s">
        <v>28</v>
      </c>
      <c r="C91" s="8">
        <v>46050</v>
      </c>
      <c r="D91" s="7" t="s">
        <v>16</v>
      </c>
      <c r="E91" s="9">
        <v>962</v>
      </c>
      <c r="F91" s="7" t="s">
        <v>29</v>
      </c>
      <c r="G91" s="7" t="s">
        <v>30</v>
      </c>
      <c r="H91" s="7" t="s">
        <v>31</v>
      </c>
      <c r="I91" s="7" t="s">
        <v>171</v>
      </c>
      <c r="J91" s="7" t="str">
        <f>INDEX(Restaurants!$B$2:$B$23,MATCH(I91,Restaurants!$A$2:$A$23,0))</f>
        <v>Manek Chowk Bites</v>
      </c>
      <c r="K91" s="7" t="str">
        <f>INDEX(Restaurants!$D$2:$D$23,MATCH(I91,Restaurants!$A$2:$A$23,0))</f>
        <v>Street Food</v>
      </c>
    </row>
    <row r="92" spans="1:11" ht="15" customHeight="1" x14ac:dyDescent="0.3">
      <c r="A92" s="7" t="s">
        <v>216</v>
      </c>
      <c r="B92" s="7" t="s">
        <v>121</v>
      </c>
      <c r="C92" s="8">
        <v>46050</v>
      </c>
      <c r="D92" s="7" t="s">
        <v>35</v>
      </c>
      <c r="E92" s="9">
        <v>716.83</v>
      </c>
      <c r="F92" s="7" t="s">
        <v>122</v>
      </c>
      <c r="G92" s="7" t="s">
        <v>123</v>
      </c>
      <c r="H92" s="7" t="s">
        <v>124</v>
      </c>
      <c r="I92" s="7" t="s">
        <v>125</v>
      </c>
      <c r="J92" s="7" t="str">
        <f>INDEX(Restaurants!$B$2:$B$23,MATCH(I92,Restaurants!$A$2:$A$23,0))</f>
        <v>Karim's Kitchen</v>
      </c>
      <c r="K92" s="7" t="str">
        <f>INDEX(Restaurants!$D$2:$D$23,MATCH(I92,Restaurants!$A$2:$A$23,0))</f>
        <v>Mughlai</v>
      </c>
    </row>
    <row r="93" spans="1:11" ht="15" customHeight="1" x14ac:dyDescent="0.3">
      <c r="A93" s="7" t="s">
        <v>217</v>
      </c>
      <c r="B93" s="7" t="s">
        <v>91</v>
      </c>
      <c r="C93" s="8">
        <v>46050</v>
      </c>
      <c r="D93" s="7" t="s">
        <v>16</v>
      </c>
      <c r="E93" s="9">
        <v>794.95</v>
      </c>
      <c r="F93" s="7" t="s">
        <v>92</v>
      </c>
      <c r="G93" s="7" t="s">
        <v>93</v>
      </c>
      <c r="H93" s="7" t="s">
        <v>94</v>
      </c>
      <c r="I93" s="7" t="s">
        <v>130</v>
      </c>
      <c r="J93" s="7" t="str">
        <f>INDEX(Restaurants!$B$2:$B$23,MATCH(I93,Restaurants!$A$2:$A$23,0))</f>
        <v>Pink City Rasoi</v>
      </c>
      <c r="K93" s="7" t="str">
        <f>INDEX(Restaurants!$D$2:$D$23,MATCH(I93,Restaurants!$A$2:$A$23,0))</f>
        <v>Rajasthani</v>
      </c>
    </row>
    <row r="94" spans="1:11" ht="15" customHeight="1" x14ac:dyDescent="0.3">
      <c r="A94" s="7" t="s">
        <v>218</v>
      </c>
      <c r="B94" s="7" t="s">
        <v>15</v>
      </c>
      <c r="C94" s="8">
        <v>46051</v>
      </c>
      <c r="D94" s="7" t="s">
        <v>16</v>
      </c>
      <c r="E94" s="9">
        <v>478.83</v>
      </c>
      <c r="F94" s="7" t="s">
        <v>46</v>
      </c>
      <c r="G94" s="7" t="s">
        <v>47</v>
      </c>
      <c r="H94" s="7" t="s">
        <v>48</v>
      </c>
      <c r="I94" s="7" t="s">
        <v>49</v>
      </c>
      <c r="J94" s="7" t="str">
        <f>INDEX(Restaurants!$B$2:$B$23,MATCH(I94,Restaurants!$A$2:$A$23,0))</f>
        <v>Bombay Bites</v>
      </c>
      <c r="K94" s="7" t="str">
        <f>INDEX(Restaurants!$D$2:$D$23,MATCH(I94,Restaurants!$A$2:$A$23,0))</f>
        <v>Street Food</v>
      </c>
    </row>
    <row r="95" spans="1:11" ht="15" customHeight="1" x14ac:dyDescent="0.3">
      <c r="A95" s="7" t="s">
        <v>219</v>
      </c>
      <c r="B95" s="7" t="s">
        <v>51</v>
      </c>
      <c r="C95" s="8">
        <v>46051</v>
      </c>
      <c r="D95" s="7" t="s">
        <v>16</v>
      </c>
      <c r="E95" s="9">
        <v>860.7</v>
      </c>
      <c r="F95" s="7" t="s">
        <v>52</v>
      </c>
      <c r="G95" s="7" t="s">
        <v>53</v>
      </c>
      <c r="H95" s="7" t="s">
        <v>54</v>
      </c>
      <c r="I95" s="7" t="s">
        <v>55</v>
      </c>
      <c r="J95" s="7" t="str">
        <f>INDEX(Restaurants!$B$2:$B$23,MATCH(I95,Restaurants!$A$2:$A$23,0))</f>
        <v>Tunday Kababi Corner</v>
      </c>
      <c r="K95" s="7" t="str">
        <f>INDEX(Restaurants!$D$2:$D$23,MATCH(I95,Restaurants!$A$2:$A$23,0))</f>
        <v>Awadhi</v>
      </c>
    </row>
    <row r="96" spans="1:11" ht="15" customHeight="1" x14ac:dyDescent="0.3">
      <c r="A96" s="7" t="s">
        <v>220</v>
      </c>
      <c r="B96" s="7" t="s">
        <v>15</v>
      </c>
      <c r="C96" s="8">
        <v>46051</v>
      </c>
      <c r="D96" s="7" t="s">
        <v>16</v>
      </c>
      <c r="E96" s="9">
        <v>791.41</v>
      </c>
      <c r="F96" s="7" t="s">
        <v>46</v>
      </c>
      <c r="G96" s="7" t="s">
        <v>47</v>
      </c>
      <c r="H96" s="7" t="s">
        <v>48</v>
      </c>
      <c r="I96" s="7" t="s">
        <v>49</v>
      </c>
      <c r="J96" s="7" t="str">
        <f>INDEX(Restaurants!$B$2:$B$23,MATCH(I96,Restaurants!$A$2:$A$23,0))</f>
        <v>Bombay Bites</v>
      </c>
      <c r="K96" s="7" t="str">
        <f>INDEX(Restaurants!$D$2:$D$23,MATCH(I96,Restaurants!$A$2:$A$23,0))</f>
        <v>Street Food</v>
      </c>
    </row>
    <row r="97" spans="1:11" ht="15" customHeight="1" x14ac:dyDescent="0.3">
      <c r="A97" s="7" t="s">
        <v>221</v>
      </c>
      <c r="B97" s="7" t="s">
        <v>63</v>
      </c>
      <c r="C97" s="8">
        <v>46051</v>
      </c>
      <c r="D97" s="7" t="s">
        <v>35</v>
      </c>
      <c r="E97" s="9">
        <v>822.37</v>
      </c>
      <c r="F97" s="7" t="s">
        <v>65</v>
      </c>
      <c r="G97" s="7" t="s">
        <v>66</v>
      </c>
      <c r="H97" s="7" t="s">
        <v>67</v>
      </c>
      <c r="I97" s="7" t="s">
        <v>68</v>
      </c>
      <c r="J97" s="7" t="str">
        <f>INDEX(Restaurants!$B$2:$B$23,MATCH(I97,Restaurants!$A$2:$A$23,0))</f>
        <v>Puneri Misal House</v>
      </c>
      <c r="K97" s="7" t="str">
        <f>INDEX(Restaurants!$D$2:$D$23,MATCH(I97,Restaurants!$A$2:$A$23,0))</f>
        <v>Maharashtrian</v>
      </c>
    </row>
    <row r="98" spans="1:11" ht="15" customHeight="1" x14ac:dyDescent="0.3">
      <c r="A98" s="7" t="s">
        <v>222</v>
      </c>
      <c r="B98" s="7" t="s">
        <v>91</v>
      </c>
      <c r="C98" s="8">
        <v>46051</v>
      </c>
      <c r="D98" s="7" t="s">
        <v>16</v>
      </c>
      <c r="E98" s="9">
        <v>569.47</v>
      </c>
      <c r="F98" s="7" t="s">
        <v>156</v>
      </c>
      <c r="G98" s="7" t="s">
        <v>157</v>
      </c>
      <c r="H98" s="7" t="s">
        <v>158</v>
      </c>
      <c r="I98" s="7" t="s">
        <v>130</v>
      </c>
      <c r="J98" s="7" t="str">
        <f>INDEX(Restaurants!$B$2:$B$23,MATCH(I98,Restaurants!$A$2:$A$23,0))</f>
        <v>Pink City Rasoi</v>
      </c>
      <c r="K98" s="7" t="str">
        <f>INDEX(Restaurants!$D$2:$D$23,MATCH(I98,Restaurants!$A$2:$A$23,0))</f>
        <v>Rajasthani</v>
      </c>
    </row>
    <row r="99" spans="1:11" ht="15" customHeight="1" x14ac:dyDescent="0.3">
      <c r="A99" s="7" t="s">
        <v>223</v>
      </c>
      <c r="B99" s="7" t="s">
        <v>121</v>
      </c>
      <c r="C99" s="8">
        <v>46051</v>
      </c>
      <c r="D99" s="7" t="s">
        <v>16</v>
      </c>
      <c r="E99" s="9">
        <v>283.54000000000002</v>
      </c>
      <c r="F99" s="7" t="s">
        <v>173</v>
      </c>
      <c r="G99" s="7" t="s">
        <v>174</v>
      </c>
      <c r="H99" s="7" t="s">
        <v>175</v>
      </c>
      <c r="I99" s="7" t="s">
        <v>125</v>
      </c>
      <c r="J99" s="7" t="str">
        <f>INDEX(Restaurants!$B$2:$B$23,MATCH(I99,Restaurants!$A$2:$A$23,0))</f>
        <v>Karim's Kitchen</v>
      </c>
      <c r="K99" s="7" t="str">
        <f>INDEX(Restaurants!$D$2:$D$23,MATCH(I99,Restaurants!$A$2:$A$23,0))</f>
        <v>Mughlai</v>
      </c>
    </row>
    <row r="100" spans="1:11" ht="15" customHeight="1" x14ac:dyDescent="0.3">
      <c r="A100" s="7" t="s">
        <v>224</v>
      </c>
      <c r="B100" s="7" t="s">
        <v>34</v>
      </c>
      <c r="C100" s="8">
        <v>46052</v>
      </c>
      <c r="D100" s="7" t="s">
        <v>35</v>
      </c>
      <c r="E100" s="9">
        <v>607.39</v>
      </c>
      <c r="F100" s="7" t="s">
        <v>100</v>
      </c>
      <c r="G100" s="7" t="s">
        <v>101</v>
      </c>
      <c r="H100" s="7" t="s">
        <v>102</v>
      </c>
      <c r="I100" s="7" t="s">
        <v>39</v>
      </c>
      <c r="J100" s="7" t="str">
        <f>INDEX(Restaurants!$B$2:$B$23,MATCH(I100,Restaurants!$A$2:$A$23,0))</f>
        <v>Silicon Spice</v>
      </c>
      <c r="K100" s="7" t="str">
        <f>INDEX(Restaurants!$D$2:$D$23,MATCH(I100,Restaurants!$A$2:$A$23,0))</f>
        <v>Multi-Cuisine</v>
      </c>
    </row>
    <row r="101" spans="1:11" ht="15" customHeight="1" x14ac:dyDescent="0.3">
      <c r="A101" s="7" t="s">
        <v>225</v>
      </c>
      <c r="B101" s="7" t="s">
        <v>70</v>
      </c>
      <c r="C101" s="8">
        <v>46052</v>
      </c>
      <c r="D101" s="7" t="s">
        <v>16</v>
      </c>
      <c r="E101" s="9">
        <v>326.74</v>
      </c>
      <c r="F101" s="7" t="s">
        <v>111</v>
      </c>
      <c r="G101" s="7" t="s">
        <v>112</v>
      </c>
      <c r="H101" s="7" t="s">
        <v>113</v>
      </c>
      <c r="I101" s="7" t="s">
        <v>114</v>
      </c>
      <c r="J101" s="7" t="str">
        <f>INDEX(Restaurants!$B$2:$B$23,MATCH(I101,Restaurants!$A$2:$A$23,0))</f>
        <v>Marina Meals</v>
      </c>
      <c r="K101" s="7" t="str">
        <f>INDEX(Restaurants!$D$2:$D$23,MATCH(I101,Restaurants!$A$2:$A$23,0))</f>
        <v>South Indian</v>
      </c>
    </row>
    <row r="102" spans="1:11" ht="15" customHeight="1" x14ac:dyDescent="0.3">
      <c r="A102" s="7" t="s">
        <v>226</v>
      </c>
      <c r="B102" s="7" t="s">
        <v>57</v>
      </c>
      <c r="C102" s="8">
        <v>46052</v>
      </c>
      <c r="D102" s="7" t="s">
        <v>16</v>
      </c>
      <c r="E102" s="9">
        <v>986.3</v>
      </c>
      <c r="F102" s="7" t="s">
        <v>58</v>
      </c>
      <c r="G102" s="7" t="s">
        <v>59</v>
      </c>
      <c r="H102" s="7" t="s">
        <v>60</v>
      </c>
      <c r="I102" s="7" t="s">
        <v>61</v>
      </c>
      <c r="J102" s="7" t="str">
        <f>INDEX(Restaurants!$B$2:$B$23,MATCH(I102,Restaurants!$A$2:$A$23,0))</f>
        <v>Fort Kochi Seafoods</v>
      </c>
      <c r="K102" s="7" t="str">
        <f>INDEX(Restaurants!$D$2:$D$23,MATCH(I102,Restaurants!$A$2:$A$23,0))</f>
        <v>Seafood</v>
      </c>
    </row>
    <row r="103" spans="1:11" ht="15" customHeight="1" x14ac:dyDescent="0.3">
      <c r="A103" s="7" t="s">
        <v>227</v>
      </c>
      <c r="B103" s="7" t="s">
        <v>121</v>
      </c>
      <c r="C103" s="8">
        <v>46053</v>
      </c>
      <c r="D103" s="7" t="s">
        <v>16</v>
      </c>
      <c r="E103" s="9">
        <v>1104.02</v>
      </c>
      <c r="F103" s="7" t="s">
        <v>143</v>
      </c>
      <c r="G103" s="7" t="s">
        <v>144</v>
      </c>
      <c r="H103" s="7" t="s">
        <v>145</v>
      </c>
      <c r="I103" s="7" t="s">
        <v>125</v>
      </c>
      <c r="J103" s="7" t="str">
        <f>INDEX(Restaurants!$B$2:$B$23,MATCH(I103,Restaurants!$A$2:$A$23,0))</f>
        <v>Karim's Kitchen</v>
      </c>
      <c r="K103" s="7" t="str">
        <f>INDEX(Restaurants!$D$2:$D$23,MATCH(I103,Restaurants!$A$2:$A$23,0))</f>
        <v>Mughlai</v>
      </c>
    </row>
    <row r="104" spans="1:11" ht="15" customHeight="1" x14ac:dyDescent="0.3">
      <c r="A104" s="7" t="s">
        <v>228</v>
      </c>
      <c r="B104" s="7" t="s">
        <v>15</v>
      </c>
      <c r="C104" s="8">
        <v>46053</v>
      </c>
      <c r="D104" s="7" t="s">
        <v>16</v>
      </c>
      <c r="E104" s="9">
        <v>827.13</v>
      </c>
      <c r="F104" s="7" t="s">
        <v>17</v>
      </c>
      <c r="G104" s="7" t="s">
        <v>18</v>
      </c>
      <c r="H104" s="7" t="s">
        <v>19</v>
      </c>
      <c r="I104" s="7" t="s">
        <v>49</v>
      </c>
      <c r="J104" s="7" t="str">
        <f>INDEX(Restaurants!$B$2:$B$23,MATCH(I104,Restaurants!$A$2:$A$23,0))</f>
        <v>Bombay Bites</v>
      </c>
      <c r="K104" s="7" t="str">
        <f>INDEX(Restaurants!$D$2:$D$23,MATCH(I104,Restaurants!$A$2:$A$23,0))</f>
        <v>Street Food</v>
      </c>
    </row>
    <row r="105" spans="1:11" ht="15" customHeight="1" x14ac:dyDescent="0.3">
      <c r="A105" s="7" t="s">
        <v>229</v>
      </c>
      <c r="B105" s="7" t="s">
        <v>70</v>
      </c>
      <c r="C105" s="8">
        <v>46053</v>
      </c>
      <c r="D105" s="7" t="s">
        <v>16</v>
      </c>
      <c r="E105" s="9">
        <v>947.15</v>
      </c>
      <c r="F105" s="7" t="s">
        <v>111</v>
      </c>
      <c r="G105" s="7" t="s">
        <v>112</v>
      </c>
      <c r="H105" s="7" t="s">
        <v>113</v>
      </c>
      <c r="I105" s="7" t="s">
        <v>74</v>
      </c>
      <c r="J105" s="7" t="str">
        <f>INDEX(Restaurants!$B$2:$B$23,MATCH(I105,Restaurants!$A$2:$A$23,0))</f>
        <v>Chettinad Corner</v>
      </c>
      <c r="K105" s="7" t="str">
        <f>INDEX(Restaurants!$D$2:$D$23,MATCH(I105,Restaurants!$A$2:$A$23,0))</f>
        <v>Chettinad</v>
      </c>
    </row>
    <row r="106" spans="1:11" ht="15" customHeight="1" x14ac:dyDescent="0.3">
      <c r="A106" s="7" t="s">
        <v>230</v>
      </c>
      <c r="B106" s="7" t="s">
        <v>91</v>
      </c>
      <c r="C106" s="8">
        <v>46053</v>
      </c>
      <c r="D106" s="7" t="s">
        <v>16</v>
      </c>
      <c r="E106" s="9">
        <v>572.25</v>
      </c>
      <c r="F106" s="7" t="s">
        <v>92</v>
      </c>
      <c r="G106" s="7" t="s">
        <v>93</v>
      </c>
      <c r="H106" s="7" t="s">
        <v>94</v>
      </c>
      <c r="I106" s="7" t="s">
        <v>130</v>
      </c>
      <c r="J106" s="7" t="str">
        <f>INDEX(Restaurants!$B$2:$B$23,MATCH(I106,Restaurants!$A$2:$A$23,0))</f>
        <v>Pink City Rasoi</v>
      </c>
      <c r="K106" s="7" t="str">
        <f>INDEX(Restaurants!$D$2:$D$23,MATCH(I106,Restaurants!$A$2:$A$23,0))</f>
        <v>Rajasthani</v>
      </c>
    </row>
    <row r="107" spans="1:11" ht="15" customHeight="1" x14ac:dyDescent="0.3">
      <c r="A107" s="7" t="s">
        <v>231</v>
      </c>
      <c r="B107" s="7" t="s">
        <v>76</v>
      </c>
      <c r="C107" s="8">
        <v>46053</v>
      </c>
      <c r="D107" s="7" t="s">
        <v>16</v>
      </c>
      <c r="E107" s="9">
        <v>949.83</v>
      </c>
      <c r="F107" s="7" t="s">
        <v>77</v>
      </c>
      <c r="G107" s="7" t="s">
        <v>78</v>
      </c>
      <c r="H107" s="7" t="s">
        <v>79</v>
      </c>
      <c r="I107" s="7" t="s">
        <v>80</v>
      </c>
      <c r="J107" s="7" t="str">
        <f>INDEX(Restaurants!$B$2:$B$23,MATCH(I107,Restaurants!$A$2:$A$23,0))</f>
        <v>Bong Bhoj</v>
      </c>
      <c r="K107" s="7" t="str">
        <f>INDEX(Restaurants!$D$2:$D$23,MATCH(I107,Restaurants!$A$2:$A$23,0))</f>
        <v>Bengali</v>
      </c>
    </row>
    <row r="108" spans="1:11" ht="15" customHeight="1" x14ac:dyDescent="0.3">
      <c r="A108" s="7" t="s">
        <v>232</v>
      </c>
      <c r="B108" s="7" t="s">
        <v>28</v>
      </c>
      <c r="C108" s="8">
        <v>46053</v>
      </c>
      <c r="D108" s="7" t="s">
        <v>64</v>
      </c>
      <c r="E108" s="9">
        <v>881.2</v>
      </c>
      <c r="F108" s="7" t="s">
        <v>168</v>
      </c>
      <c r="G108" s="7" t="s">
        <v>169</v>
      </c>
      <c r="H108" s="7" t="s">
        <v>170</v>
      </c>
      <c r="I108" s="7" t="s">
        <v>32</v>
      </c>
      <c r="J108" s="7" t="str">
        <f>INDEX(Restaurants!$B$2:$B$23,MATCH(I108,Restaurants!$A$2:$A$23,0))</f>
        <v>Gujarat Thali Home</v>
      </c>
      <c r="K108" s="7" t="str">
        <f>INDEX(Restaurants!$D$2:$D$23,MATCH(I108,Restaurants!$A$2:$A$23,0))</f>
        <v>Gujarati</v>
      </c>
    </row>
    <row r="109" spans="1:11" ht="15" customHeight="1" x14ac:dyDescent="0.3">
      <c r="A109" s="7" t="s">
        <v>233</v>
      </c>
      <c r="B109" s="7" t="s">
        <v>28</v>
      </c>
      <c r="C109" s="8">
        <v>46054</v>
      </c>
      <c r="D109" s="7" t="s">
        <v>16</v>
      </c>
      <c r="E109" s="9">
        <v>1179.78</v>
      </c>
      <c r="F109" s="7" t="s">
        <v>168</v>
      </c>
      <c r="G109" s="7" t="s">
        <v>169</v>
      </c>
      <c r="H109" s="7" t="s">
        <v>170</v>
      </c>
      <c r="I109" s="7" t="s">
        <v>171</v>
      </c>
      <c r="J109" s="7" t="str">
        <f>INDEX(Restaurants!$B$2:$B$23,MATCH(I109,Restaurants!$A$2:$A$23,0))</f>
        <v>Manek Chowk Bites</v>
      </c>
      <c r="K109" s="7" t="str">
        <f>INDEX(Restaurants!$D$2:$D$23,MATCH(I109,Restaurants!$A$2:$A$23,0))</f>
        <v>Street Food</v>
      </c>
    </row>
    <row r="110" spans="1:11" ht="15" customHeight="1" x14ac:dyDescent="0.3">
      <c r="A110" s="7" t="s">
        <v>234</v>
      </c>
      <c r="B110" s="7" t="s">
        <v>76</v>
      </c>
      <c r="C110" s="8">
        <v>46054</v>
      </c>
      <c r="D110" s="7" t="s">
        <v>16</v>
      </c>
      <c r="E110" s="9">
        <v>995.58</v>
      </c>
      <c r="F110" s="7" t="s">
        <v>117</v>
      </c>
      <c r="G110" s="7" t="s">
        <v>118</v>
      </c>
      <c r="H110" s="7" t="s">
        <v>119</v>
      </c>
      <c r="I110" s="7" t="s">
        <v>80</v>
      </c>
      <c r="J110" s="7" t="str">
        <f>INDEX(Restaurants!$B$2:$B$23,MATCH(I110,Restaurants!$A$2:$A$23,0))</f>
        <v>Bong Bhoj</v>
      </c>
      <c r="K110" s="7" t="str">
        <f>INDEX(Restaurants!$D$2:$D$23,MATCH(I110,Restaurants!$A$2:$A$23,0))</f>
        <v>Bengali</v>
      </c>
    </row>
    <row r="111" spans="1:11" ht="15" customHeight="1" x14ac:dyDescent="0.3">
      <c r="A111" s="7" t="s">
        <v>235</v>
      </c>
      <c r="B111" s="7" t="s">
        <v>34</v>
      </c>
      <c r="C111" s="8">
        <v>46054</v>
      </c>
      <c r="D111" s="7" t="s">
        <v>16</v>
      </c>
      <c r="E111" s="9">
        <v>372.02</v>
      </c>
      <c r="F111" s="7" t="s">
        <v>36</v>
      </c>
      <c r="G111" s="7" t="s">
        <v>37</v>
      </c>
      <c r="H111" s="7" t="s">
        <v>38</v>
      </c>
      <c r="I111" s="7" t="s">
        <v>103</v>
      </c>
      <c r="J111" s="7" t="str">
        <f>INDEX(Restaurants!$B$2:$B$23,MATCH(I111,Restaurants!$A$2:$A$23,0))</f>
        <v>Namma Bangalore Cafe</v>
      </c>
      <c r="K111" s="7" t="str">
        <f>INDEX(Restaurants!$D$2:$D$23,MATCH(I111,Restaurants!$A$2:$A$23,0))</f>
        <v>South Indian</v>
      </c>
    </row>
    <row r="112" spans="1:11" ht="15" customHeight="1" x14ac:dyDescent="0.3">
      <c r="A112" s="7" t="s">
        <v>236</v>
      </c>
      <c r="B112" s="7" t="s">
        <v>121</v>
      </c>
      <c r="C112" s="8">
        <v>46054</v>
      </c>
      <c r="D112" s="7" t="s">
        <v>16</v>
      </c>
      <c r="E112" s="9">
        <v>910.08</v>
      </c>
      <c r="F112" s="7" t="s">
        <v>122</v>
      </c>
      <c r="G112" s="7" t="s">
        <v>123</v>
      </c>
      <c r="H112" s="7" t="s">
        <v>124</v>
      </c>
      <c r="I112" s="7" t="s">
        <v>125</v>
      </c>
      <c r="J112" s="7" t="str">
        <f>INDEX(Restaurants!$B$2:$B$23,MATCH(I112,Restaurants!$A$2:$A$23,0))</f>
        <v>Karim's Kitchen</v>
      </c>
      <c r="K112" s="7" t="str">
        <f>INDEX(Restaurants!$D$2:$D$23,MATCH(I112,Restaurants!$A$2:$A$23,0))</f>
        <v>Mughlai</v>
      </c>
    </row>
    <row r="113" spans="1:11" ht="15" customHeight="1" x14ac:dyDescent="0.3">
      <c r="A113" s="7" t="s">
        <v>237</v>
      </c>
      <c r="B113" s="7" t="s">
        <v>63</v>
      </c>
      <c r="C113" s="8">
        <v>46054</v>
      </c>
      <c r="D113" s="7" t="s">
        <v>16</v>
      </c>
      <c r="E113" s="9">
        <v>940.57</v>
      </c>
      <c r="F113" s="7" t="s">
        <v>65</v>
      </c>
      <c r="G113" s="7" t="s">
        <v>66</v>
      </c>
      <c r="H113" s="7" t="s">
        <v>67</v>
      </c>
      <c r="I113" s="7" t="s">
        <v>85</v>
      </c>
      <c r="J113" s="7" t="str">
        <f>INDEX(Restaurants!$B$2:$B$23,MATCH(I113,Restaurants!$A$2:$A$23,0))</f>
        <v>Deccan Diner</v>
      </c>
      <c r="K113" s="7" t="str">
        <f>INDEX(Restaurants!$D$2:$D$23,MATCH(I113,Restaurants!$A$2:$A$23,0))</f>
        <v>Continental</v>
      </c>
    </row>
    <row r="114" spans="1:11" ht="15" customHeight="1" x14ac:dyDescent="0.3">
      <c r="A114" s="7" t="s">
        <v>238</v>
      </c>
      <c r="B114" s="7" t="s">
        <v>15</v>
      </c>
      <c r="C114" s="8">
        <v>46054</v>
      </c>
      <c r="D114" s="7" t="s">
        <v>16</v>
      </c>
      <c r="E114" s="9">
        <v>1082.95</v>
      </c>
      <c r="F114" s="7" t="s">
        <v>46</v>
      </c>
      <c r="G114" s="7" t="s">
        <v>47</v>
      </c>
      <c r="H114" s="7" t="s">
        <v>48</v>
      </c>
      <c r="I114" s="7" t="s">
        <v>49</v>
      </c>
      <c r="J114" s="7" t="str">
        <f>INDEX(Restaurants!$B$2:$B$23,MATCH(I114,Restaurants!$A$2:$A$23,0))</f>
        <v>Bombay Bites</v>
      </c>
      <c r="K114" s="7" t="str">
        <f>INDEX(Restaurants!$D$2:$D$23,MATCH(I114,Restaurants!$A$2:$A$23,0))</f>
        <v>Street Food</v>
      </c>
    </row>
    <row r="115" spans="1:11" ht="15" customHeight="1" x14ac:dyDescent="0.3">
      <c r="A115" s="7" t="s">
        <v>239</v>
      </c>
      <c r="B115" s="7" t="s">
        <v>70</v>
      </c>
      <c r="C115" s="8">
        <v>46055</v>
      </c>
      <c r="D115" s="7" t="s">
        <v>16</v>
      </c>
      <c r="E115" s="9">
        <v>758.22</v>
      </c>
      <c r="F115" s="7" t="s">
        <v>111</v>
      </c>
      <c r="G115" s="7" t="s">
        <v>112</v>
      </c>
      <c r="H115" s="7" t="s">
        <v>113</v>
      </c>
      <c r="I115" s="7" t="s">
        <v>74</v>
      </c>
      <c r="J115" s="7" t="str">
        <f>INDEX(Restaurants!$B$2:$B$23,MATCH(I115,Restaurants!$A$2:$A$23,0))</f>
        <v>Chettinad Corner</v>
      </c>
      <c r="K115" s="7" t="str">
        <f>INDEX(Restaurants!$D$2:$D$23,MATCH(I115,Restaurants!$A$2:$A$23,0))</f>
        <v>Chettinad</v>
      </c>
    </row>
    <row r="116" spans="1:11" ht="15" customHeight="1" x14ac:dyDescent="0.3">
      <c r="A116" s="7" t="s">
        <v>240</v>
      </c>
      <c r="B116" s="7" t="s">
        <v>70</v>
      </c>
      <c r="C116" s="8">
        <v>46055</v>
      </c>
      <c r="D116" s="7" t="s">
        <v>16</v>
      </c>
      <c r="E116" s="9">
        <v>1127.1400000000001</v>
      </c>
      <c r="F116" s="7" t="s">
        <v>71</v>
      </c>
      <c r="G116" s="7" t="s">
        <v>72</v>
      </c>
      <c r="H116" s="7" t="s">
        <v>73</v>
      </c>
      <c r="I116" s="7" t="s">
        <v>74</v>
      </c>
      <c r="J116" s="7" t="str">
        <f>INDEX(Restaurants!$B$2:$B$23,MATCH(I116,Restaurants!$A$2:$A$23,0))</f>
        <v>Chettinad Corner</v>
      </c>
      <c r="K116" s="7" t="str">
        <f>INDEX(Restaurants!$D$2:$D$23,MATCH(I116,Restaurants!$A$2:$A$23,0))</f>
        <v>Chettinad</v>
      </c>
    </row>
    <row r="117" spans="1:11" ht="15" customHeight="1" x14ac:dyDescent="0.3">
      <c r="A117" s="7" t="s">
        <v>241</v>
      </c>
      <c r="B117" s="7" t="s">
        <v>51</v>
      </c>
      <c r="C117" s="8">
        <v>46056</v>
      </c>
      <c r="D117" s="7" t="s">
        <v>16</v>
      </c>
      <c r="E117" s="9">
        <v>604.5</v>
      </c>
      <c r="F117" s="7" t="s">
        <v>52</v>
      </c>
      <c r="G117" s="7" t="s">
        <v>53</v>
      </c>
      <c r="H117" s="7" t="s">
        <v>54</v>
      </c>
      <c r="I117" s="7" t="s">
        <v>137</v>
      </c>
      <c r="J117" s="7" t="str">
        <f>INDEX(Restaurants!$B$2:$B$23,MATCH(I117,Restaurants!$A$2:$A$23,0))</f>
        <v>Nawabi Nights</v>
      </c>
      <c r="K117" s="7" t="str">
        <f>INDEX(Restaurants!$D$2:$D$23,MATCH(I117,Restaurants!$A$2:$A$23,0))</f>
        <v>Mughlai</v>
      </c>
    </row>
    <row r="118" spans="1:11" ht="15" customHeight="1" x14ac:dyDescent="0.3">
      <c r="A118" s="7" t="s">
        <v>242</v>
      </c>
      <c r="B118" s="7" t="s">
        <v>76</v>
      </c>
      <c r="C118" s="8">
        <v>46056</v>
      </c>
      <c r="D118" s="7" t="s">
        <v>16</v>
      </c>
      <c r="E118" s="9">
        <v>916</v>
      </c>
      <c r="F118" s="7" t="s">
        <v>117</v>
      </c>
      <c r="G118" s="7" t="s">
        <v>118</v>
      </c>
      <c r="H118" s="7" t="s">
        <v>119</v>
      </c>
      <c r="I118" s="7" t="s">
        <v>139</v>
      </c>
      <c r="J118" s="7" t="str">
        <f>INDEX(Restaurants!$B$2:$B$23,MATCH(I118,Restaurants!$A$2:$A$23,0))</f>
        <v>Park Street Diner</v>
      </c>
      <c r="K118" s="7" t="str">
        <f>INDEX(Restaurants!$D$2:$D$23,MATCH(I118,Restaurants!$A$2:$A$23,0))</f>
        <v>Continental</v>
      </c>
    </row>
    <row r="119" spans="1:11" ht="15" customHeight="1" x14ac:dyDescent="0.3">
      <c r="A119" s="7" t="s">
        <v>243</v>
      </c>
      <c r="B119" s="7" t="s">
        <v>15</v>
      </c>
      <c r="C119" s="8">
        <v>46057</v>
      </c>
      <c r="D119" s="7" t="s">
        <v>16</v>
      </c>
      <c r="E119" s="9">
        <v>1134.98</v>
      </c>
      <c r="F119" s="7" t="s">
        <v>87</v>
      </c>
      <c r="G119" s="7" t="s">
        <v>88</v>
      </c>
      <c r="H119" s="7" t="s">
        <v>89</v>
      </c>
      <c r="I119" s="7" t="s">
        <v>49</v>
      </c>
      <c r="J119" s="7" t="str">
        <f>INDEX(Restaurants!$B$2:$B$23,MATCH(I119,Restaurants!$A$2:$A$23,0))</f>
        <v>Bombay Bites</v>
      </c>
      <c r="K119" s="7" t="str">
        <f>INDEX(Restaurants!$D$2:$D$23,MATCH(I119,Restaurants!$A$2:$A$23,0))</f>
        <v>Street Food</v>
      </c>
    </row>
    <row r="120" spans="1:11" ht="15" customHeight="1" x14ac:dyDescent="0.3">
      <c r="A120" s="7" t="s">
        <v>244</v>
      </c>
      <c r="B120" s="7" t="s">
        <v>91</v>
      </c>
      <c r="C120" s="8">
        <v>46057</v>
      </c>
      <c r="D120" s="7" t="s">
        <v>16</v>
      </c>
      <c r="E120" s="9">
        <v>309.79000000000002</v>
      </c>
      <c r="F120" s="7" t="s">
        <v>156</v>
      </c>
      <c r="G120" s="7" t="s">
        <v>157</v>
      </c>
      <c r="H120" s="7" t="s">
        <v>158</v>
      </c>
      <c r="I120" s="7" t="s">
        <v>95</v>
      </c>
      <c r="J120" s="7" t="str">
        <f>INDEX(Restaurants!$B$2:$B$23,MATCH(I120,Restaurants!$A$2:$A$23,0))</f>
        <v>Royal Thali Palace</v>
      </c>
      <c r="K120" s="7" t="str">
        <f>INDEX(Restaurants!$D$2:$D$23,MATCH(I120,Restaurants!$A$2:$A$23,0))</f>
        <v>Rajasthani</v>
      </c>
    </row>
    <row r="121" spans="1:11" ht="15" customHeight="1" x14ac:dyDescent="0.3">
      <c r="A121" s="7" t="s">
        <v>245</v>
      </c>
      <c r="B121" s="7" t="s">
        <v>91</v>
      </c>
      <c r="C121" s="8">
        <v>46057</v>
      </c>
      <c r="D121" s="7" t="s">
        <v>16</v>
      </c>
      <c r="E121" s="9">
        <v>434.24</v>
      </c>
      <c r="F121" s="7" t="s">
        <v>156</v>
      </c>
      <c r="G121" s="7" t="s">
        <v>157</v>
      </c>
      <c r="H121" s="7" t="s">
        <v>158</v>
      </c>
      <c r="I121" s="7" t="s">
        <v>95</v>
      </c>
      <c r="J121" s="7" t="str">
        <f>INDEX(Restaurants!$B$2:$B$23,MATCH(I121,Restaurants!$A$2:$A$23,0))</f>
        <v>Royal Thali Palace</v>
      </c>
      <c r="K121" s="7" t="str">
        <f>INDEX(Restaurants!$D$2:$D$23,MATCH(I121,Restaurants!$A$2:$A$23,0))</f>
        <v>Rajasthani</v>
      </c>
    </row>
    <row r="122" spans="1:11" ht="15" customHeight="1" x14ac:dyDescent="0.3">
      <c r="A122" s="7" t="s">
        <v>246</v>
      </c>
      <c r="B122" s="7" t="s">
        <v>121</v>
      </c>
      <c r="C122" s="8">
        <v>46057</v>
      </c>
      <c r="D122" s="7" t="s">
        <v>16</v>
      </c>
      <c r="E122" s="9">
        <v>1165.28</v>
      </c>
      <c r="F122" s="7" t="s">
        <v>122</v>
      </c>
      <c r="G122" s="7" t="s">
        <v>123</v>
      </c>
      <c r="H122" s="7" t="s">
        <v>124</v>
      </c>
      <c r="I122" s="7" t="s">
        <v>125</v>
      </c>
      <c r="J122" s="7" t="str">
        <f>INDEX(Restaurants!$B$2:$B$23,MATCH(I122,Restaurants!$A$2:$A$23,0))</f>
        <v>Karim's Kitchen</v>
      </c>
      <c r="K122" s="7" t="str">
        <f>INDEX(Restaurants!$D$2:$D$23,MATCH(I122,Restaurants!$A$2:$A$23,0))</f>
        <v>Mughlai</v>
      </c>
    </row>
    <row r="123" spans="1:11" ht="15" customHeight="1" x14ac:dyDescent="0.3">
      <c r="A123" s="7" t="s">
        <v>247</v>
      </c>
      <c r="B123" s="7" t="s">
        <v>34</v>
      </c>
      <c r="C123" s="8">
        <v>46058</v>
      </c>
      <c r="D123" s="7" t="s">
        <v>16</v>
      </c>
      <c r="E123" s="9">
        <v>217.57</v>
      </c>
      <c r="F123" s="7" t="s">
        <v>100</v>
      </c>
      <c r="G123" s="7" t="s">
        <v>101</v>
      </c>
      <c r="H123" s="7" t="s">
        <v>102</v>
      </c>
      <c r="I123" s="7" t="s">
        <v>103</v>
      </c>
      <c r="J123" s="7" t="str">
        <f>INDEX(Restaurants!$B$2:$B$23,MATCH(I123,Restaurants!$A$2:$A$23,0))</f>
        <v>Namma Bangalore Cafe</v>
      </c>
      <c r="K123" s="7" t="str">
        <f>INDEX(Restaurants!$D$2:$D$23,MATCH(I123,Restaurants!$A$2:$A$23,0))</f>
        <v>South Indian</v>
      </c>
    </row>
    <row r="124" spans="1:11" ht="15" customHeight="1" x14ac:dyDescent="0.3">
      <c r="A124" s="7" t="s">
        <v>248</v>
      </c>
      <c r="B124" s="7" t="s">
        <v>91</v>
      </c>
      <c r="C124" s="8">
        <v>46058</v>
      </c>
      <c r="D124" s="7" t="s">
        <v>16</v>
      </c>
      <c r="E124" s="9">
        <v>612.24</v>
      </c>
      <c r="F124" s="7" t="s">
        <v>92</v>
      </c>
      <c r="G124" s="7" t="s">
        <v>93</v>
      </c>
      <c r="H124" s="7" t="s">
        <v>94</v>
      </c>
      <c r="I124" s="7" t="s">
        <v>95</v>
      </c>
      <c r="J124" s="7" t="str">
        <f>INDEX(Restaurants!$B$2:$B$23,MATCH(I124,Restaurants!$A$2:$A$23,0))</f>
        <v>Royal Thali Palace</v>
      </c>
      <c r="K124" s="7" t="str">
        <f>INDEX(Restaurants!$D$2:$D$23,MATCH(I124,Restaurants!$A$2:$A$23,0))</f>
        <v>Rajasthani</v>
      </c>
    </row>
    <row r="125" spans="1:11" ht="15" customHeight="1" x14ac:dyDescent="0.3">
      <c r="A125" s="7" t="s">
        <v>249</v>
      </c>
      <c r="B125" s="7" t="s">
        <v>70</v>
      </c>
      <c r="C125" s="8">
        <v>46059</v>
      </c>
      <c r="D125" s="7" t="s">
        <v>16</v>
      </c>
      <c r="E125" s="9">
        <v>932.07</v>
      </c>
      <c r="F125" s="7" t="s">
        <v>71</v>
      </c>
      <c r="G125" s="7" t="s">
        <v>72</v>
      </c>
      <c r="H125" s="7" t="s">
        <v>73</v>
      </c>
      <c r="I125" s="7" t="s">
        <v>114</v>
      </c>
      <c r="J125" s="7" t="str">
        <f>INDEX(Restaurants!$B$2:$B$23,MATCH(I125,Restaurants!$A$2:$A$23,0))</f>
        <v>Marina Meals</v>
      </c>
      <c r="K125" s="7" t="str">
        <f>INDEX(Restaurants!$D$2:$D$23,MATCH(I125,Restaurants!$A$2:$A$23,0))</f>
        <v>South Indian</v>
      </c>
    </row>
    <row r="126" spans="1:11" ht="15" customHeight="1" x14ac:dyDescent="0.3">
      <c r="A126" s="7" t="s">
        <v>250</v>
      </c>
      <c r="B126" s="7" t="s">
        <v>15</v>
      </c>
      <c r="C126" s="8">
        <v>46059</v>
      </c>
      <c r="D126" s="7" t="s">
        <v>16</v>
      </c>
      <c r="E126" s="9">
        <v>650</v>
      </c>
      <c r="F126" s="7" t="s">
        <v>87</v>
      </c>
      <c r="G126" s="7" t="s">
        <v>88</v>
      </c>
      <c r="H126" s="7" t="s">
        <v>89</v>
      </c>
      <c r="I126" s="7" t="s">
        <v>49</v>
      </c>
      <c r="J126" s="7" t="str">
        <f>INDEX(Restaurants!$B$2:$B$23,MATCH(I126,Restaurants!$A$2:$A$23,0))</f>
        <v>Bombay Bites</v>
      </c>
      <c r="K126" s="7" t="str">
        <f>INDEX(Restaurants!$D$2:$D$23,MATCH(I126,Restaurants!$A$2:$A$23,0))</f>
        <v>Street Food</v>
      </c>
    </row>
    <row r="127" spans="1:11" ht="15" customHeight="1" x14ac:dyDescent="0.3">
      <c r="A127" s="7" t="s">
        <v>251</v>
      </c>
      <c r="B127" s="7" t="s">
        <v>91</v>
      </c>
      <c r="C127" s="8">
        <v>46059</v>
      </c>
      <c r="D127" s="7" t="s">
        <v>64</v>
      </c>
      <c r="E127" s="9">
        <v>871.89</v>
      </c>
      <c r="F127" s="7" t="s">
        <v>92</v>
      </c>
      <c r="G127" s="7" t="s">
        <v>93</v>
      </c>
      <c r="H127" s="7" t="s">
        <v>94</v>
      </c>
      <c r="I127" s="7" t="s">
        <v>130</v>
      </c>
      <c r="J127" s="7" t="str">
        <f>INDEX(Restaurants!$B$2:$B$23,MATCH(I127,Restaurants!$A$2:$A$23,0))</f>
        <v>Pink City Rasoi</v>
      </c>
      <c r="K127" s="7" t="str">
        <f>INDEX(Restaurants!$D$2:$D$23,MATCH(I127,Restaurants!$A$2:$A$23,0))</f>
        <v>Rajasthani</v>
      </c>
    </row>
    <row r="128" spans="1:11" ht="15" customHeight="1" x14ac:dyDescent="0.3">
      <c r="A128" s="7" t="s">
        <v>252</v>
      </c>
      <c r="B128" s="7" t="s">
        <v>63</v>
      </c>
      <c r="C128" s="8">
        <v>46059</v>
      </c>
      <c r="D128" s="7" t="s">
        <v>16</v>
      </c>
      <c r="E128" s="9">
        <v>443.86</v>
      </c>
      <c r="F128" s="7" t="s">
        <v>82</v>
      </c>
      <c r="G128" s="7" t="s">
        <v>83</v>
      </c>
      <c r="H128" s="7" t="s">
        <v>84</v>
      </c>
      <c r="I128" s="7" t="s">
        <v>68</v>
      </c>
      <c r="J128" s="7" t="str">
        <f>INDEX(Restaurants!$B$2:$B$23,MATCH(I128,Restaurants!$A$2:$A$23,0))</f>
        <v>Puneri Misal House</v>
      </c>
      <c r="K128" s="7" t="str">
        <f>INDEX(Restaurants!$D$2:$D$23,MATCH(I128,Restaurants!$A$2:$A$23,0))</f>
        <v>Maharashtrian</v>
      </c>
    </row>
    <row r="129" spans="1:11" ht="15" customHeight="1" x14ac:dyDescent="0.3">
      <c r="A129" s="7" t="s">
        <v>253</v>
      </c>
      <c r="B129" s="7" t="s">
        <v>76</v>
      </c>
      <c r="C129" s="8">
        <v>46060</v>
      </c>
      <c r="D129" s="7" t="s">
        <v>35</v>
      </c>
      <c r="E129" s="9">
        <v>647.84</v>
      </c>
      <c r="F129" s="7" t="s">
        <v>117</v>
      </c>
      <c r="G129" s="7" t="s">
        <v>118</v>
      </c>
      <c r="H129" s="7" t="s">
        <v>119</v>
      </c>
      <c r="I129" s="7" t="s">
        <v>80</v>
      </c>
      <c r="J129" s="7" t="str">
        <f>INDEX(Restaurants!$B$2:$B$23,MATCH(I129,Restaurants!$A$2:$A$23,0))</f>
        <v>Bong Bhoj</v>
      </c>
      <c r="K129" s="7" t="str">
        <f>INDEX(Restaurants!$D$2:$D$23,MATCH(I129,Restaurants!$A$2:$A$23,0))</f>
        <v>Bengali</v>
      </c>
    </row>
    <row r="130" spans="1:11" ht="15" customHeight="1" x14ac:dyDescent="0.3">
      <c r="A130" s="7" t="s">
        <v>254</v>
      </c>
      <c r="B130" s="7" t="s">
        <v>76</v>
      </c>
      <c r="C130" s="8">
        <v>46060</v>
      </c>
      <c r="D130" s="7" t="s">
        <v>35</v>
      </c>
      <c r="E130" s="9">
        <v>816.41</v>
      </c>
      <c r="F130" s="7" t="s">
        <v>77</v>
      </c>
      <c r="G130" s="7" t="s">
        <v>78</v>
      </c>
      <c r="H130" s="7" t="s">
        <v>79</v>
      </c>
      <c r="I130" s="7" t="s">
        <v>139</v>
      </c>
      <c r="J130" s="7" t="str">
        <f>INDEX(Restaurants!$B$2:$B$23,MATCH(I130,Restaurants!$A$2:$A$23,0))</f>
        <v>Park Street Diner</v>
      </c>
      <c r="K130" s="7" t="str">
        <f>INDEX(Restaurants!$D$2:$D$23,MATCH(I130,Restaurants!$A$2:$A$23,0))</f>
        <v>Continental</v>
      </c>
    </row>
    <row r="131" spans="1:11" ht="15" customHeight="1" x14ac:dyDescent="0.3">
      <c r="A131" s="7" t="s">
        <v>255</v>
      </c>
      <c r="B131" s="7" t="s">
        <v>121</v>
      </c>
      <c r="C131" s="8">
        <v>46060</v>
      </c>
      <c r="D131" s="7" t="s">
        <v>16</v>
      </c>
      <c r="E131" s="9">
        <v>844.57</v>
      </c>
      <c r="F131" s="7" t="s">
        <v>173</v>
      </c>
      <c r="G131" s="7" t="s">
        <v>174</v>
      </c>
      <c r="H131" s="7" t="s">
        <v>175</v>
      </c>
      <c r="I131" s="7" t="s">
        <v>146</v>
      </c>
      <c r="J131" s="7" t="str">
        <f>INDEX(Restaurants!$B$2:$B$23,MATCH(I131,Restaurants!$A$2:$A$23,0))</f>
        <v>Delhi Darbar</v>
      </c>
      <c r="K131" s="7" t="str">
        <f>INDEX(Restaurants!$D$2:$D$23,MATCH(I131,Restaurants!$A$2:$A$23,0))</f>
        <v>North Indian</v>
      </c>
    </row>
    <row r="132" spans="1:11" ht="15" customHeight="1" x14ac:dyDescent="0.3">
      <c r="A132" s="7" t="s">
        <v>256</v>
      </c>
      <c r="B132" s="7" t="s">
        <v>22</v>
      </c>
      <c r="C132" s="8">
        <v>46060</v>
      </c>
      <c r="D132" s="7" t="s">
        <v>16</v>
      </c>
      <c r="E132" s="9">
        <v>511.04</v>
      </c>
      <c r="F132" s="7" t="s">
        <v>23</v>
      </c>
      <c r="G132" s="7" t="s">
        <v>24</v>
      </c>
      <c r="H132" s="7" t="s">
        <v>25</v>
      </c>
      <c r="I132" s="7" t="s">
        <v>98</v>
      </c>
      <c r="J132" s="7" t="str">
        <f>INDEX(Restaurants!$B$2:$B$23,MATCH(I132,Restaurants!$A$2:$A$23,0))</f>
        <v>Hyderabadi Biryani House</v>
      </c>
      <c r="K132" s="7" t="str">
        <f>INDEX(Restaurants!$D$2:$D$23,MATCH(I132,Restaurants!$A$2:$A$23,0))</f>
        <v>Biryani</v>
      </c>
    </row>
    <row r="133" spans="1:11" ht="15" customHeight="1" x14ac:dyDescent="0.3">
      <c r="A133" s="7" t="s">
        <v>257</v>
      </c>
      <c r="B133" s="7" t="s">
        <v>63</v>
      </c>
      <c r="C133" s="8">
        <v>46060</v>
      </c>
      <c r="D133" s="7" t="s">
        <v>16</v>
      </c>
      <c r="E133" s="9">
        <v>224.46</v>
      </c>
      <c r="F133" s="7" t="s">
        <v>65</v>
      </c>
      <c r="G133" s="7" t="s">
        <v>66</v>
      </c>
      <c r="H133" s="7" t="s">
        <v>67</v>
      </c>
      <c r="I133" s="7" t="s">
        <v>85</v>
      </c>
      <c r="J133" s="7" t="str">
        <f>INDEX(Restaurants!$B$2:$B$23,MATCH(I133,Restaurants!$A$2:$A$23,0))</f>
        <v>Deccan Diner</v>
      </c>
      <c r="K133" s="7" t="str">
        <f>INDEX(Restaurants!$D$2:$D$23,MATCH(I133,Restaurants!$A$2:$A$23,0))</f>
        <v>Continental</v>
      </c>
    </row>
    <row r="134" spans="1:11" ht="15" customHeight="1" x14ac:dyDescent="0.3">
      <c r="A134" s="7" t="s">
        <v>258</v>
      </c>
      <c r="B134" s="7" t="s">
        <v>70</v>
      </c>
      <c r="C134" s="8">
        <v>46061</v>
      </c>
      <c r="D134" s="7" t="s">
        <v>16</v>
      </c>
      <c r="E134" s="9">
        <v>1194.3900000000001</v>
      </c>
      <c r="F134" s="7" t="s">
        <v>111</v>
      </c>
      <c r="G134" s="7" t="s">
        <v>112</v>
      </c>
      <c r="H134" s="7" t="s">
        <v>113</v>
      </c>
      <c r="I134" s="7" t="s">
        <v>74</v>
      </c>
      <c r="J134" s="7" t="str">
        <f>INDEX(Restaurants!$B$2:$B$23,MATCH(I134,Restaurants!$A$2:$A$23,0))</f>
        <v>Chettinad Corner</v>
      </c>
      <c r="K134" s="7" t="str">
        <f>INDEX(Restaurants!$D$2:$D$23,MATCH(I134,Restaurants!$A$2:$A$23,0))</f>
        <v>Chettinad</v>
      </c>
    </row>
    <row r="135" spans="1:11" ht="15" customHeight="1" x14ac:dyDescent="0.3">
      <c r="A135" s="7" t="s">
        <v>259</v>
      </c>
      <c r="B135" s="7" t="s">
        <v>76</v>
      </c>
      <c r="C135" s="8">
        <v>46061</v>
      </c>
      <c r="D135" s="7" t="s">
        <v>16</v>
      </c>
      <c r="E135" s="9">
        <v>1033.73</v>
      </c>
      <c r="F135" s="7" t="s">
        <v>77</v>
      </c>
      <c r="G135" s="7" t="s">
        <v>78</v>
      </c>
      <c r="H135" s="7" t="s">
        <v>79</v>
      </c>
      <c r="I135" s="7" t="s">
        <v>139</v>
      </c>
      <c r="J135" s="7" t="str">
        <f>INDEX(Restaurants!$B$2:$B$23,MATCH(I135,Restaurants!$A$2:$A$23,0))</f>
        <v>Park Street Diner</v>
      </c>
      <c r="K135" s="7" t="str">
        <f>INDEX(Restaurants!$D$2:$D$23,MATCH(I135,Restaurants!$A$2:$A$23,0))</f>
        <v>Continental</v>
      </c>
    </row>
    <row r="136" spans="1:11" ht="15" customHeight="1" x14ac:dyDescent="0.3">
      <c r="A136" s="7" t="s">
        <v>260</v>
      </c>
      <c r="B136" s="7" t="s">
        <v>121</v>
      </c>
      <c r="C136" s="8">
        <v>46061</v>
      </c>
      <c r="D136" s="7" t="s">
        <v>64</v>
      </c>
      <c r="E136" s="9">
        <v>1154.6300000000001</v>
      </c>
      <c r="F136" s="7" t="s">
        <v>122</v>
      </c>
      <c r="G136" s="7" t="s">
        <v>123</v>
      </c>
      <c r="H136" s="7" t="s">
        <v>124</v>
      </c>
      <c r="I136" s="7" t="s">
        <v>146</v>
      </c>
      <c r="J136" s="7" t="str">
        <f>INDEX(Restaurants!$B$2:$B$23,MATCH(I136,Restaurants!$A$2:$A$23,0))</f>
        <v>Delhi Darbar</v>
      </c>
      <c r="K136" s="7" t="str">
        <f>INDEX(Restaurants!$D$2:$D$23,MATCH(I136,Restaurants!$A$2:$A$23,0))</f>
        <v>North Indian</v>
      </c>
    </row>
    <row r="137" spans="1:11" ht="15" customHeight="1" x14ac:dyDescent="0.3">
      <c r="A137" s="7" t="s">
        <v>261</v>
      </c>
      <c r="B137" s="7" t="s">
        <v>121</v>
      </c>
      <c r="C137" s="8">
        <v>46061</v>
      </c>
      <c r="D137" s="7" t="s">
        <v>16</v>
      </c>
      <c r="E137" s="9">
        <v>894.75</v>
      </c>
      <c r="F137" s="7" t="s">
        <v>173</v>
      </c>
      <c r="G137" s="7" t="s">
        <v>174</v>
      </c>
      <c r="H137" s="7" t="s">
        <v>175</v>
      </c>
      <c r="I137" s="7" t="s">
        <v>146</v>
      </c>
      <c r="J137" s="7" t="str">
        <f>INDEX(Restaurants!$B$2:$B$23,MATCH(I137,Restaurants!$A$2:$A$23,0))</f>
        <v>Delhi Darbar</v>
      </c>
      <c r="K137" s="7" t="str">
        <f>INDEX(Restaurants!$D$2:$D$23,MATCH(I137,Restaurants!$A$2:$A$23,0))</f>
        <v>North Indian</v>
      </c>
    </row>
    <row r="138" spans="1:11" ht="15" customHeight="1" x14ac:dyDescent="0.3">
      <c r="A138" s="7" t="s">
        <v>262</v>
      </c>
      <c r="B138" s="7" t="s">
        <v>15</v>
      </c>
      <c r="C138" s="8">
        <v>46061</v>
      </c>
      <c r="D138" s="7" t="s">
        <v>16</v>
      </c>
      <c r="E138" s="9">
        <v>513.19000000000005</v>
      </c>
      <c r="F138" s="7" t="s">
        <v>87</v>
      </c>
      <c r="G138" s="7" t="s">
        <v>88</v>
      </c>
      <c r="H138" s="7" t="s">
        <v>89</v>
      </c>
      <c r="I138" s="7" t="s">
        <v>49</v>
      </c>
      <c r="J138" s="7" t="str">
        <f>INDEX(Restaurants!$B$2:$B$23,MATCH(I138,Restaurants!$A$2:$A$23,0))</f>
        <v>Bombay Bites</v>
      </c>
      <c r="K138" s="7" t="str">
        <f>INDEX(Restaurants!$D$2:$D$23,MATCH(I138,Restaurants!$A$2:$A$23,0))</f>
        <v>Street Food</v>
      </c>
    </row>
    <row r="139" spans="1:11" ht="15" customHeight="1" x14ac:dyDescent="0.3">
      <c r="A139" s="7" t="s">
        <v>263</v>
      </c>
      <c r="B139" s="7" t="s">
        <v>63</v>
      </c>
      <c r="C139" s="8">
        <v>46062</v>
      </c>
      <c r="D139" s="7" t="s">
        <v>16</v>
      </c>
      <c r="E139" s="9">
        <v>803.14</v>
      </c>
      <c r="F139" s="7" t="s">
        <v>82</v>
      </c>
      <c r="G139" s="7" t="s">
        <v>83</v>
      </c>
      <c r="H139" s="7" t="s">
        <v>84</v>
      </c>
      <c r="I139" s="7" t="s">
        <v>85</v>
      </c>
      <c r="J139" s="7" t="str">
        <f>INDEX(Restaurants!$B$2:$B$23,MATCH(I139,Restaurants!$A$2:$A$23,0))</f>
        <v>Deccan Diner</v>
      </c>
      <c r="K139" s="7" t="str">
        <f>INDEX(Restaurants!$D$2:$D$23,MATCH(I139,Restaurants!$A$2:$A$23,0))</f>
        <v>Continental</v>
      </c>
    </row>
    <row r="140" spans="1:11" ht="15" customHeight="1" x14ac:dyDescent="0.3">
      <c r="A140" s="7" t="s">
        <v>264</v>
      </c>
      <c r="B140" s="7" t="s">
        <v>70</v>
      </c>
      <c r="C140" s="8">
        <v>46062</v>
      </c>
      <c r="D140" s="7" t="s">
        <v>16</v>
      </c>
      <c r="E140" s="9">
        <v>332.46</v>
      </c>
      <c r="F140" s="7" t="s">
        <v>111</v>
      </c>
      <c r="G140" s="7" t="s">
        <v>112</v>
      </c>
      <c r="H140" s="7" t="s">
        <v>113</v>
      </c>
      <c r="I140" s="7" t="s">
        <v>74</v>
      </c>
      <c r="J140" s="7" t="str">
        <f>INDEX(Restaurants!$B$2:$B$23,MATCH(I140,Restaurants!$A$2:$A$23,0))</f>
        <v>Chettinad Corner</v>
      </c>
      <c r="K140" s="7" t="str">
        <f>INDEX(Restaurants!$D$2:$D$23,MATCH(I140,Restaurants!$A$2:$A$23,0))</f>
        <v>Chettinad</v>
      </c>
    </row>
    <row r="141" spans="1:11" ht="15" customHeight="1" x14ac:dyDescent="0.3">
      <c r="A141" s="7" t="s">
        <v>265</v>
      </c>
      <c r="B141" s="7" t="s">
        <v>63</v>
      </c>
      <c r="C141" s="8">
        <v>46063</v>
      </c>
      <c r="D141" s="7" t="s">
        <v>16</v>
      </c>
      <c r="E141" s="9">
        <v>433.4</v>
      </c>
      <c r="F141" s="7" t="s">
        <v>65</v>
      </c>
      <c r="G141" s="7" t="s">
        <v>66</v>
      </c>
      <c r="H141" s="7" t="s">
        <v>67</v>
      </c>
      <c r="I141" s="7" t="s">
        <v>85</v>
      </c>
      <c r="J141" s="7" t="str">
        <f>INDEX(Restaurants!$B$2:$B$23,MATCH(I141,Restaurants!$A$2:$A$23,0))</f>
        <v>Deccan Diner</v>
      </c>
      <c r="K141" s="7" t="str">
        <f>INDEX(Restaurants!$D$2:$D$23,MATCH(I141,Restaurants!$A$2:$A$23,0))</f>
        <v>Continental</v>
      </c>
    </row>
    <row r="142" spans="1:11" ht="15" customHeight="1" x14ac:dyDescent="0.3">
      <c r="A142" s="7" t="s">
        <v>266</v>
      </c>
      <c r="B142" s="7" t="s">
        <v>121</v>
      </c>
      <c r="C142" s="8">
        <v>46063</v>
      </c>
      <c r="D142" s="7" t="s">
        <v>16</v>
      </c>
      <c r="E142" s="9">
        <v>795.43</v>
      </c>
      <c r="F142" s="7" t="s">
        <v>143</v>
      </c>
      <c r="G142" s="7" t="s">
        <v>144</v>
      </c>
      <c r="H142" s="7" t="s">
        <v>145</v>
      </c>
      <c r="I142" s="7" t="s">
        <v>125</v>
      </c>
      <c r="J142" s="7" t="str">
        <f>INDEX(Restaurants!$B$2:$B$23,MATCH(I142,Restaurants!$A$2:$A$23,0))</f>
        <v>Karim's Kitchen</v>
      </c>
      <c r="K142" s="7" t="str">
        <f>INDEX(Restaurants!$D$2:$D$23,MATCH(I142,Restaurants!$A$2:$A$23,0))</f>
        <v>Mughlai</v>
      </c>
    </row>
    <row r="143" spans="1:11" ht="15" customHeight="1" x14ac:dyDescent="0.3">
      <c r="A143" s="7" t="s">
        <v>267</v>
      </c>
      <c r="B143" s="7" t="s">
        <v>15</v>
      </c>
      <c r="C143" s="8">
        <v>46063</v>
      </c>
      <c r="D143" s="7" t="s">
        <v>16</v>
      </c>
      <c r="E143" s="9">
        <v>998.33</v>
      </c>
      <c r="F143" s="7" t="s">
        <v>17</v>
      </c>
      <c r="G143" s="7" t="s">
        <v>18</v>
      </c>
      <c r="H143" s="7" t="s">
        <v>19</v>
      </c>
      <c r="I143" s="7" t="s">
        <v>20</v>
      </c>
      <c r="J143" s="7" t="str">
        <f>INDEX(Restaurants!$B$2:$B$23,MATCH(I143,Restaurants!$A$2:$A$23,0))</f>
        <v>Sea Breeze Grill</v>
      </c>
      <c r="K143" s="7" t="str">
        <f>INDEX(Restaurants!$D$2:$D$23,MATCH(I143,Restaurants!$A$2:$A$23,0))</f>
        <v>Seafood</v>
      </c>
    </row>
    <row r="144" spans="1:11" ht="15" customHeight="1" x14ac:dyDescent="0.3">
      <c r="A144" s="7" t="s">
        <v>268</v>
      </c>
      <c r="B144" s="7" t="s">
        <v>121</v>
      </c>
      <c r="C144" s="8">
        <v>46064</v>
      </c>
      <c r="D144" s="7" t="s">
        <v>16</v>
      </c>
      <c r="E144" s="9">
        <v>489.2</v>
      </c>
      <c r="F144" s="7" t="s">
        <v>122</v>
      </c>
      <c r="G144" s="7" t="s">
        <v>123</v>
      </c>
      <c r="H144" s="7" t="s">
        <v>124</v>
      </c>
      <c r="I144" s="7" t="s">
        <v>146</v>
      </c>
      <c r="J144" s="7" t="str">
        <f>INDEX(Restaurants!$B$2:$B$23,MATCH(I144,Restaurants!$A$2:$A$23,0))</f>
        <v>Delhi Darbar</v>
      </c>
      <c r="K144" s="7" t="str">
        <f>INDEX(Restaurants!$D$2:$D$23,MATCH(I144,Restaurants!$A$2:$A$23,0))</f>
        <v>North Indian</v>
      </c>
    </row>
    <row r="145" spans="1:11" ht="15" customHeight="1" x14ac:dyDescent="0.3">
      <c r="A145" s="7" t="s">
        <v>269</v>
      </c>
      <c r="B145" s="7" t="s">
        <v>15</v>
      </c>
      <c r="C145" s="8">
        <v>46065</v>
      </c>
      <c r="D145" s="7" t="s">
        <v>16</v>
      </c>
      <c r="E145" s="9">
        <v>964.11</v>
      </c>
      <c r="F145" s="7" t="s">
        <v>87</v>
      </c>
      <c r="G145" s="7" t="s">
        <v>88</v>
      </c>
      <c r="H145" s="7" t="s">
        <v>89</v>
      </c>
      <c r="I145" s="7" t="s">
        <v>49</v>
      </c>
      <c r="J145" s="7" t="str">
        <f>INDEX(Restaurants!$B$2:$B$23,MATCH(I145,Restaurants!$A$2:$A$23,0))</f>
        <v>Bombay Bites</v>
      </c>
      <c r="K145" s="7" t="str">
        <f>INDEX(Restaurants!$D$2:$D$23,MATCH(I145,Restaurants!$A$2:$A$23,0))</f>
        <v>Street Food</v>
      </c>
    </row>
    <row r="146" spans="1:11" ht="15" customHeight="1" x14ac:dyDescent="0.3">
      <c r="A146" s="7" t="s">
        <v>270</v>
      </c>
      <c r="B146" s="7" t="s">
        <v>22</v>
      </c>
      <c r="C146" s="8">
        <v>46065</v>
      </c>
      <c r="D146" s="7" t="s">
        <v>16</v>
      </c>
      <c r="E146" s="9">
        <v>768.91</v>
      </c>
      <c r="F146" s="7" t="s">
        <v>23</v>
      </c>
      <c r="G146" s="7" t="s">
        <v>24</v>
      </c>
      <c r="H146" s="7" t="s">
        <v>25</v>
      </c>
      <c r="I146" s="7" t="s">
        <v>26</v>
      </c>
      <c r="J146" s="7" t="str">
        <f>INDEX(Restaurants!$B$2:$B$23,MATCH(I146,Restaurants!$A$2:$A$23,0))</f>
        <v>Nizam's Table</v>
      </c>
      <c r="K146" s="7" t="str">
        <f>INDEX(Restaurants!$D$2:$D$23,MATCH(I146,Restaurants!$A$2:$A$23,0))</f>
        <v>Mughlai</v>
      </c>
    </row>
    <row r="147" spans="1:11" ht="15" customHeight="1" x14ac:dyDescent="0.3">
      <c r="A147" s="7" t="s">
        <v>271</v>
      </c>
      <c r="B147" s="7" t="s">
        <v>22</v>
      </c>
      <c r="C147" s="8">
        <v>46067</v>
      </c>
      <c r="D147" s="7" t="s">
        <v>16</v>
      </c>
      <c r="E147" s="9">
        <v>671.15</v>
      </c>
      <c r="F147" s="7" t="s">
        <v>23</v>
      </c>
      <c r="G147" s="7" t="s">
        <v>24</v>
      </c>
      <c r="H147" s="7" t="s">
        <v>25</v>
      </c>
      <c r="I147" s="7" t="s">
        <v>26</v>
      </c>
      <c r="J147" s="7" t="str">
        <f>INDEX(Restaurants!$B$2:$B$23,MATCH(I147,Restaurants!$A$2:$A$23,0))</f>
        <v>Nizam's Table</v>
      </c>
      <c r="K147" s="7" t="str">
        <f>INDEX(Restaurants!$D$2:$D$23,MATCH(I147,Restaurants!$A$2:$A$23,0))</f>
        <v>Mughlai</v>
      </c>
    </row>
    <row r="148" spans="1:11" ht="15" customHeight="1" x14ac:dyDescent="0.3">
      <c r="A148" s="7" t="s">
        <v>272</v>
      </c>
      <c r="B148" s="7" t="s">
        <v>15</v>
      </c>
      <c r="C148" s="8">
        <v>46067</v>
      </c>
      <c r="D148" s="7" t="s">
        <v>45</v>
      </c>
      <c r="E148" s="9">
        <v>502.3</v>
      </c>
      <c r="F148" s="7" t="s">
        <v>17</v>
      </c>
      <c r="G148" s="7" t="s">
        <v>18</v>
      </c>
      <c r="H148" s="7" t="s">
        <v>19</v>
      </c>
      <c r="I148" s="7" t="s">
        <v>49</v>
      </c>
      <c r="J148" s="7" t="str">
        <f>INDEX(Restaurants!$B$2:$B$23,MATCH(I148,Restaurants!$A$2:$A$23,0))</f>
        <v>Bombay Bites</v>
      </c>
      <c r="K148" s="7" t="str">
        <f>INDEX(Restaurants!$D$2:$D$23,MATCH(I148,Restaurants!$A$2:$A$23,0))</f>
        <v>Street Food</v>
      </c>
    </row>
    <row r="149" spans="1:11" ht="15" customHeight="1" x14ac:dyDescent="0.3">
      <c r="A149" s="7" t="s">
        <v>273</v>
      </c>
      <c r="B149" s="7" t="s">
        <v>28</v>
      </c>
      <c r="C149" s="8">
        <v>46067</v>
      </c>
      <c r="D149" s="7" t="s">
        <v>45</v>
      </c>
      <c r="E149" s="9">
        <v>346.05</v>
      </c>
      <c r="F149" s="7" t="s">
        <v>29</v>
      </c>
      <c r="G149" s="7" t="s">
        <v>30</v>
      </c>
      <c r="H149" s="7" t="s">
        <v>31</v>
      </c>
      <c r="I149" s="7" t="s">
        <v>32</v>
      </c>
      <c r="J149" s="7" t="str">
        <f>INDEX(Restaurants!$B$2:$B$23,MATCH(I149,Restaurants!$A$2:$A$23,0))</f>
        <v>Gujarat Thali Home</v>
      </c>
      <c r="K149" s="7" t="str">
        <f>INDEX(Restaurants!$D$2:$D$23,MATCH(I149,Restaurants!$A$2:$A$23,0))</f>
        <v>Gujarati</v>
      </c>
    </row>
    <row r="150" spans="1:11" ht="15" customHeight="1" x14ac:dyDescent="0.3">
      <c r="A150" s="7" t="s">
        <v>274</v>
      </c>
      <c r="B150" s="7" t="s">
        <v>76</v>
      </c>
      <c r="C150" s="8">
        <v>46067</v>
      </c>
      <c r="D150" s="7" t="s">
        <v>45</v>
      </c>
      <c r="E150" s="9">
        <v>1096.1300000000001</v>
      </c>
      <c r="F150" s="7" t="s">
        <v>77</v>
      </c>
      <c r="G150" s="7" t="s">
        <v>78</v>
      </c>
      <c r="H150" s="7" t="s">
        <v>79</v>
      </c>
      <c r="I150" s="7" t="s">
        <v>80</v>
      </c>
      <c r="J150" s="7" t="str">
        <f>INDEX(Restaurants!$B$2:$B$23,MATCH(I150,Restaurants!$A$2:$A$23,0))</f>
        <v>Bong Bhoj</v>
      </c>
      <c r="K150" s="7" t="str">
        <f>INDEX(Restaurants!$D$2:$D$23,MATCH(I150,Restaurants!$A$2:$A$23,0))</f>
        <v>Bengali</v>
      </c>
    </row>
    <row r="151" spans="1:11" ht="15" customHeight="1" x14ac:dyDescent="0.3">
      <c r="A151" s="7" t="s">
        <v>275</v>
      </c>
      <c r="B151" s="7" t="s">
        <v>57</v>
      </c>
      <c r="C151" s="8">
        <v>46067</v>
      </c>
      <c r="D151" s="7" t="s">
        <v>16</v>
      </c>
      <c r="E151" s="9">
        <v>432.25</v>
      </c>
      <c r="F151" s="7" t="s">
        <v>58</v>
      </c>
      <c r="G151" s="7" t="s">
        <v>59</v>
      </c>
      <c r="H151" s="7" t="s">
        <v>60</v>
      </c>
      <c r="I151" s="7" t="s">
        <v>154</v>
      </c>
      <c r="J151" s="7" t="str">
        <f>INDEX(Restaurants!$B$2:$B$23,MATCH(I151,Restaurants!$A$2:$A$23,0))</f>
        <v>Kerala Backwater Kitchen</v>
      </c>
      <c r="K151" s="7" t="str">
        <f>INDEX(Restaurants!$D$2:$D$23,MATCH(I151,Restaurants!$A$2:$A$23,0))</f>
        <v>Kerala</v>
      </c>
    </row>
    <row r="152" spans="1:11" ht="15" customHeight="1" x14ac:dyDescent="0.3">
      <c r="A152" s="7" t="s">
        <v>276</v>
      </c>
      <c r="B152" s="7" t="s">
        <v>63</v>
      </c>
      <c r="C152" s="8">
        <v>46067</v>
      </c>
      <c r="D152" s="7" t="s">
        <v>64</v>
      </c>
      <c r="E152" s="9">
        <v>387.74</v>
      </c>
      <c r="F152" s="7" t="s">
        <v>150</v>
      </c>
      <c r="G152" s="7" t="s">
        <v>151</v>
      </c>
      <c r="H152" s="7" t="s">
        <v>152</v>
      </c>
      <c r="I152" s="7" t="s">
        <v>68</v>
      </c>
      <c r="J152" s="7" t="str">
        <f>INDEX(Restaurants!$B$2:$B$23,MATCH(I152,Restaurants!$A$2:$A$23,0))</f>
        <v>Puneri Misal House</v>
      </c>
      <c r="K152" s="7" t="str">
        <f>INDEX(Restaurants!$D$2:$D$23,MATCH(I152,Restaurants!$A$2:$A$23,0))</f>
        <v>Maharashtrian</v>
      </c>
    </row>
    <row r="153" spans="1:11" ht="15" customHeight="1" x14ac:dyDescent="0.3">
      <c r="A153" s="7" t="s">
        <v>277</v>
      </c>
      <c r="B153" s="7" t="s">
        <v>15</v>
      </c>
      <c r="C153" s="8">
        <v>46067</v>
      </c>
      <c r="D153" s="7" t="s">
        <v>16</v>
      </c>
      <c r="E153" s="9">
        <v>1166.48</v>
      </c>
      <c r="F153" s="7" t="s">
        <v>87</v>
      </c>
      <c r="G153" s="7" t="s">
        <v>88</v>
      </c>
      <c r="H153" s="7" t="s">
        <v>89</v>
      </c>
      <c r="I153" s="7" t="s">
        <v>20</v>
      </c>
      <c r="J153" s="7" t="str">
        <f>INDEX(Restaurants!$B$2:$B$23,MATCH(I153,Restaurants!$A$2:$A$23,0))</f>
        <v>Sea Breeze Grill</v>
      </c>
      <c r="K153" s="7" t="str">
        <f>INDEX(Restaurants!$D$2:$D$23,MATCH(I153,Restaurants!$A$2:$A$23,0))</f>
        <v>Seafood</v>
      </c>
    </row>
    <row r="154" spans="1:11" ht="15" customHeight="1" x14ac:dyDescent="0.3">
      <c r="A154" s="7" t="s">
        <v>278</v>
      </c>
      <c r="B154" s="7" t="s">
        <v>28</v>
      </c>
      <c r="C154" s="8">
        <v>46067</v>
      </c>
      <c r="D154" s="7" t="s">
        <v>64</v>
      </c>
      <c r="E154" s="9">
        <v>887.31</v>
      </c>
      <c r="F154" s="7" t="s">
        <v>29</v>
      </c>
      <c r="G154" s="7" t="s">
        <v>30</v>
      </c>
      <c r="H154" s="7" t="s">
        <v>31</v>
      </c>
      <c r="I154" s="7" t="s">
        <v>32</v>
      </c>
      <c r="J154" s="7" t="str">
        <f>INDEX(Restaurants!$B$2:$B$23,MATCH(I154,Restaurants!$A$2:$A$23,0))</f>
        <v>Gujarat Thali Home</v>
      </c>
      <c r="K154" s="7" t="str">
        <f>INDEX(Restaurants!$D$2:$D$23,MATCH(I154,Restaurants!$A$2:$A$23,0))</f>
        <v>Gujarati</v>
      </c>
    </row>
    <row r="155" spans="1:11" ht="15" customHeight="1" x14ac:dyDescent="0.3">
      <c r="A155" s="7" t="s">
        <v>279</v>
      </c>
      <c r="B155" s="7" t="s">
        <v>34</v>
      </c>
      <c r="C155" s="8">
        <v>46068</v>
      </c>
      <c r="D155" s="7" t="s">
        <v>16</v>
      </c>
      <c r="E155" s="9">
        <v>423.44</v>
      </c>
      <c r="F155" s="7" t="s">
        <v>105</v>
      </c>
      <c r="G155" s="7" t="s">
        <v>106</v>
      </c>
      <c r="H155" s="7" t="s">
        <v>107</v>
      </c>
      <c r="I155" s="7" t="s">
        <v>39</v>
      </c>
      <c r="J155" s="7" t="str">
        <f>INDEX(Restaurants!$B$2:$B$23,MATCH(I155,Restaurants!$A$2:$A$23,0))</f>
        <v>Silicon Spice</v>
      </c>
      <c r="K155" s="7" t="str">
        <f>INDEX(Restaurants!$D$2:$D$23,MATCH(I155,Restaurants!$A$2:$A$23,0))</f>
        <v>Multi-Cuisine</v>
      </c>
    </row>
    <row r="156" spans="1:11" ht="15" customHeight="1" x14ac:dyDescent="0.3">
      <c r="A156" s="7" t="s">
        <v>280</v>
      </c>
      <c r="B156" s="7" t="s">
        <v>28</v>
      </c>
      <c r="C156" s="8">
        <v>46068</v>
      </c>
      <c r="D156" s="7" t="s">
        <v>16</v>
      </c>
      <c r="E156" s="9">
        <v>991.76</v>
      </c>
      <c r="F156" s="7" t="s">
        <v>168</v>
      </c>
      <c r="G156" s="7" t="s">
        <v>169</v>
      </c>
      <c r="H156" s="7" t="s">
        <v>170</v>
      </c>
      <c r="I156" s="7" t="s">
        <v>32</v>
      </c>
      <c r="J156" s="7" t="str">
        <f>INDEX(Restaurants!$B$2:$B$23,MATCH(I156,Restaurants!$A$2:$A$23,0))</f>
        <v>Gujarat Thali Home</v>
      </c>
      <c r="K156" s="7" t="str">
        <f>INDEX(Restaurants!$D$2:$D$23,MATCH(I156,Restaurants!$A$2:$A$23,0))</f>
        <v>Gujarati</v>
      </c>
    </row>
    <row r="157" spans="1:11" ht="15" customHeight="1" x14ac:dyDescent="0.3">
      <c r="A157" s="7" t="s">
        <v>281</v>
      </c>
      <c r="B157" s="7" t="s">
        <v>70</v>
      </c>
      <c r="C157" s="8">
        <v>46068</v>
      </c>
      <c r="D157" s="7" t="s">
        <v>16</v>
      </c>
      <c r="E157" s="9">
        <v>487.18</v>
      </c>
      <c r="F157" s="7" t="s">
        <v>71</v>
      </c>
      <c r="G157" s="7" t="s">
        <v>72</v>
      </c>
      <c r="H157" s="7" t="s">
        <v>73</v>
      </c>
      <c r="I157" s="7" t="s">
        <v>114</v>
      </c>
      <c r="J157" s="7" t="str">
        <f>INDEX(Restaurants!$B$2:$B$23,MATCH(I157,Restaurants!$A$2:$A$23,0))</f>
        <v>Marina Meals</v>
      </c>
      <c r="K157" s="7" t="str">
        <f>INDEX(Restaurants!$D$2:$D$23,MATCH(I157,Restaurants!$A$2:$A$23,0))</f>
        <v>South Indian</v>
      </c>
    </row>
    <row r="158" spans="1:11" ht="15" customHeight="1" x14ac:dyDescent="0.3">
      <c r="A158" s="7" t="s">
        <v>282</v>
      </c>
      <c r="B158" s="7" t="s">
        <v>91</v>
      </c>
      <c r="C158" s="8">
        <v>46068</v>
      </c>
      <c r="D158" s="7" t="s">
        <v>45</v>
      </c>
      <c r="E158" s="9">
        <v>394.29</v>
      </c>
      <c r="F158" s="7" t="s">
        <v>156</v>
      </c>
      <c r="G158" s="7" t="s">
        <v>157</v>
      </c>
      <c r="H158" s="7" t="s">
        <v>158</v>
      </c>
      <c r="I158" s="7" t="s">
        <v>95</v>
      </c>
      <c r="J158" s="7" t="str">
        <f>INDEX(Restaurants!$B$2:$B$23,MATCH(I158,Restaurants!$A$2:$A$23,0))</f>
        <v>Royal Thali Palace</v>
      </c>
      <c r="K158" s="7" t="str">
        <f>INDEX(Restaurants!$D$2:$D$23,MATCH(I158,Restaurants!$A$2:$A$23,0))</f>
        <v>Rajasthani</v>
      </c>
    </row>
    <row r="159" spans="1:11" ht="15" customHeight="1" x14ac:dyDescent="0.3">
      <c r="A159" s="7" t="s">
        <v>283</v>
      </c>
      <c r="B159" s="7" t="s">
        <v>121</v>
      </c>
      <c r="C159" s="8">
        <v>46069</v>
      </c>
      <c r="D159" s="7" t="s">
        <v>64</v>
      </c>
      <c r="E159" s="9">
        <v>198.58</v>
      </c>
      <c r="F159" s="7" t="s">
        <v>122</v>
      </c>
      <c r="G159" s="7" t="s">
        <v>123</v>
      </c>
      <c r="H159" s="7" t="s">
        <v>124</v>
      </c>
      <c r="I159" s="7" t="s">
        <v>125</v>
      </c>
      <c r="J159" s="7" t="str">
        <f>INDEX(Restaurants!$B$2:$B$23,MATCH(I159,Restaurants!$A$2:$A$23,0))</f>
        <v>Karim's Kitchen</v>
      </c>
      <c r="K159" s="7" t="str">
        <f>INDEX(Restaurants!$D$2:$D$23,MATCH(I159,Restaurants!$A$2:$A$23,0))</f>
        <v>Mughlai</v>
      </c>
    </row>
    <row r="160" spans="1:11" ht="15" customHeight="1" x14ac:dyDescent="0.3">
      <c r="A160" s="7" t="s">
        <v>284</v>
      </c>
      <c r="B160" s="7" t="s">
        <v>34</v>
      </c>
      <c r="C160" s="8">
        <v>46069</v>
      </c>
      <c r="D160" s="7" t="s">
        <v>35</v>
      </c>
      <c r="E160" s="9">
        <v>551.38</v>
      </c>
      <c r="F160" s="7" t="s">
        <v>100</v>
      </c>
      <c r="G160" s="7" t="s">
        <v>101</v>
      </c>
      <c r="H160" s="7" t="s">
        <v>102</v>
      </c>
      <c r="I160" s="7" t="s">
        <v>39</v>
      </c>
      <c r="J160" s="7" t="str">
        <f>INDEX(Restaurants!$B$2:$B$23,MATCH(I160,Restaurants!$A$2:$A$23,0))</f>
        <v>Silicon Spice</v>
      </c>
      <c r="K160" s="7" t="str">
        <f>INDEX(Restaurants!$D$2:$D$23,MATCH(I160,Restaurants!$A$2:$A$23,0))</f>
        <v>Multi-Cuisine</v>
      </c>
    </row>
    <row r="161" spans="1:11" ht="15" customHeight="1" x14ac:dyDescent="0.3">
      <c r="A161" s="7" t="s">
        <v>285</v>
      </c>
      <c r="B161" s="7" t="s">
        <v>63</v>
      </c>
      <c r="C161" s="8">
        <v>46069</v>
      </c>
      <c r="D161" s="7" t="s">
        <v>16</v>
      </c>
      <c r="E161" s="9">
        <v>978.03</v>
      </c>
      <c r="F161" s="7" t="s">
        <v>65</v>
      </c>
      <c r="G161" s="7" t="s">
        <v>66</v>
      </c>
      <c r="H161" s="7" t="s">
        <v>67</v>
      </c>
      <c r="I161" s="7" t="s">
        <v>68</v>
      </c>
      <c r="J161" s="7" t="str">
        <f>INDEX(Restaurants!$B$2:$B$23,MATCH(I161,Restaurants!$A$2:$A$23,0))</f>
        <v>Puneri Misal House</v>
      </c>
      <c r="K161" s="7" t="str">
        <f>INDEX(Restaurants!$D$2:$D$23,MATCH(I161,Restaurants!$A$2:$A$23,0))</f>
        <v>Maharashtrian</v>
      </c>
    </row>
    <row r="162" spans="1:11" ht="15" customHeight="1" x14ac:dyDescent="0.3">
      <c r="A162" s="7" t="s">
        <v>286</v>
      </c>
      <c r="B162" s="7" t="s">
        <v>121</v>
      </c>
      <c r="C162" s="8">
        <v>46069</v>
      </c>
      <c r="D162" s="7" t="s">
        <v>64</v>
      </c>
      <c r="E162" s="9">
        <v>821.14</v>
      </c>
      <c r="F162" s="7" t="s">
        <v>143</v>
      </c>
      <c r="G162" s="7" t="s">
        <v>144</v>
      </c>
      <c r="H162" s="7" t="s">
        <v>145</v>
      </c>
      <c r="I162" s="7" t="s">
        <v>146</v>
      </c>
      <c r="J162" s="7" t="str">
        <f>INDEX(Restaurants!$B$2:$B$23,MATCH(I162,Restaurants!$A$2:$A$23,0))</f>
        <v>Delhi Darbar</v>
      </c>
      <c r="K162" s="7" t="str">
        <f>INDEX(Restaurants!$D$2:$D$23,MATCH(I162,Restaurants!$A$2:$A$23,0))</f>
        <v>North Indian</v>
      </c>
    </row>
    <row r="163" spans="1:11" ht="15" customHeight="1" x14ac:dyDescent="0.3">
      <c r="A163" s="7" t="s">
        <v>287</v>
      </c>
      <c r="B163" s="7" t="s">
        <v>15</v>
      </c>
      <c r="C163" s="8">
        <v>46070</v>
      </c>
      <c r="D163" s="7" t="s">
        <v>16</v>
      </c>
      <c r="E163" s="9">
        <v>1015.36</v>
      </c>
      <c r="F163" s="7" t="s">
        <v>17</v>
      </c>
      <c r="G163" s="7" t="s">
        <v>18</v>
      </c>
      <c r="H163" s="7" t="s">
        <v>19</v>
      </c>
      <c r="I163" s="7" t="s">
        <v>49</v>
      </c>
      <c r="J163" s="7" t="str">
        <f>INDEX(Restaurants!$B$2:$B$23,MATCH(I163,Restaurants!$A$2:$A$23,0))</f>
        <v>Bombay Bites</v>
      </c>
      <c r="K163" s="7" t="str">
        <f>INDEX(Restaurants!$D$2:$D$23,MATCH(I163,Restaurants!$A$2:$A$23,0))</f>
        <v>Street Food</v>
      </c>
    </row>
    <row r="164" spans="1:11" ht="15" customHeight="1" x14ac:dyDescent="0.3">
      <c r="A164" s="7" t="s">
        <v>288</v>
      </c>
      <c r="B164" s="7" t="s">
        <v>57</v>
      </c>
      <c r="C164" s="8">
        <v>46070</v>
      </c>
      <c r="D164" s="7" t="s">
        <v>16</v>
      </c>
      <c r="E164" s="9">
        <v>1051.3399999999999</v>
      </c>
      <c r="F164" s="7" t="s">
        <v>58</v>
      </c>
      <c r="G164" s="7" t="s">
        <v>59</v>
      </c>
      <c r="H164" s="7" t="s">
        <v>60</v>
      </c>
      <c r="I164" s="7" t="s">
        <v>61</v>
      </c>
      <c r="J164" s="7" t="str">
        <f>INDEX(Restaurants!$B$2:$B$23,MATCH(I164,Restaurants!$A$2:$A$23,0))</f>
        <v>Fort Kochi Seafoods</v>
      </c>
      <c r="K164" s="7" t="str">
        <f>INDEX(Restaurants!$D$2:$D$23,MATCH(I164,Restaurants!$A$2:$A$23,0))</f>
        <v>Seafood</v>
      </c>
    </row>
    <row r="165" spans="1:11" ht="15" customHeight="1" x14ac:dyDescent="0.3">
      <c r="A165" s="7" t="s">
        <v>289</v>
      </c>
      <c r="B165" s="7" t="s">
        <v>121</v>
      </c>
      <c r="C165" s="8">
        <v>46070</v>
      </c>
      <c r="D165" s="7" t="s">
        <v>16</v>
      </c>
      <c r="E165" s="9">
        <v>1016.78</v>
      </c>
      <c r="F165" s="7" t="s">
        <v>122</v>
      </c>
      <c r="G165" s="7" t="s">
        <v>123</v>
      </c>
      <c r="H165" s="7" t="s">
        <v>124</v>
      </c>
      <c r="I165" s="7" t="s">
        <v>146</v>
      </c>
      <c r="J165" s="7" t="str">
        <f>INDEX(Restaurants!$B$2:$B$23,MATCH(I165,Restaurants!$A$2:$A$23,0))</f>
        <v>Delhi Darbar</v>
      </c>
      <c r="K165" s="7" t="str">
        <f>INDEX(Restaurants!$D$2:$D$23,MATCH(I165,Restaurants!$A$2:$A$23,0))</f>
        <v>North Indian</v>
      </c>
    </row>
    <row r="166" spans="1:11" ht="15" customHeight="1" x14ac:dyDescent="0.3">
      <c r="A166" s="7" t="s">
        <v>290</v>
      </c>
      <c r="B166" s="7" t="s">
        <v>76</v>
      </c>
      <c r="C166" s="8">
        <v>46070</v>
      </c>
      <c r="D166" s="7" t="s">
        <v>45</v>
      </c>
      <c r="E166" s="9">
        <v>644.29999999999995</v>
      </c>
      <c r="F166" s="7" t="s">
        <v>77</v>
      </c>
      <c r="G166" s="7" t="s">
        <v>78</v>
      </c>
      <c r="H166" s="7" t="s">
        <v>79</v>
      </c>
      <c r="I166" s="7" t="s">
        <v>139</v>
      </c>
      <c r="J166" s="7" t="str">
        <f>INDEX(Restaurants!$B$2:$B$23,MATCH(I166,Restaurants!$A$2:$A$23,0))</f>
        <v>Park Street Diner</v>
      </c>
      <c r="K166" s="7" t="str">
        <f>INDEX(Restaurants!$D$2:$D$23,MATCH(I166,Restaurants!$A$2:$A$23,0))</f>
        <v>Continental</v>
      </c>
    </row>
    <row r="167" spans="1:11" ht="15" customHeight="1" x14ac:dyDescent="0.3">
      <c r="A167" s="7" t="s">
        <v>291</v>
      </c>
      <c r="B167" s="7" t="s">
        <v>22</v>
      </c>
      <c r="C167" s="8">
        <v>46071</v>
      </c>
      <c r="D167" s="7" t="s">
        <v>35</v>
      </c>
      <c r="E167" s="9">
        <v>463.99</v>
      </c>
      <c r="F167" s="7" t="s">
        <v>23</v>
      </c>
      <c r="G167" s="7" t="s">
        <v>24</v>
      </c>
      <c r="H167" s="7" t="s">
        <v>25</v>
      </c>
      <c r="I167" s="7" t="s">
        <v>98</v>
      </c>
      <c r="J167" s="7" t="str">
        <f>INDEX(Restaurants!$B$2:$B$23,MATCH(I167,Restaurants!$A$2:$A$23,0))</f>
        <v>Hyderabadi Biryani House</v>
      </c>
      <c r="K167" s="7" t="str">
        <f>INDEX(Restaurants!$D$2:$D$23,MATCH(I167,Restaurants!$A$2:$A$23,0))</f>
        <v>Biryani</v>
      </c>
    </row>
    <row r="168" spans="1:11" ht="15" customHeight="1" x14ac:dyDescent="0.3">
      <c r="A168" s="7" t="s">
        <v>292</v>
      </c>
      <c r="B168" s="7" t="s">
        <v>121</v>
      </c>
      <c r="C168" s="8">
        <v>46071</v>
      </c>
      <c r="D168" s="7" t="s">
        <v>16</v>
      </c>
      <c r="E168" s="9">
        <v>236.51</v>
      </c>
      <c r="F168" s="7" t="s">
        <v>143</v>
      </c>
      <c r="G168" s="7" t="s">
        <v>144</v>
      </c>
      <c r="H168" s="7" t="s">
        <v>145</v>
      </c>
      <c r="I168" s="7" t="s">
        <v>125</v>
      </c>
      <c r="J168" s="7" t="str">
        <f>INDEX(Restaurants!$B$2:$B$23,MATCH(I168,Restaurants!$A$2:$A$23,0))</f>
        <v>Karim's Kitchen</v>
      </c>
      <c r="K168" s="7" t="str">
        <f>INDEX(Restaurants!$D$2:$D$23,MATCH(I168,Restaurants!$A$2:$A$23,0))</f>
        <v>Mughlai</v>
      </c>
    </row>
    <row r="169" spans="1:11" ht="15" customHeight="1" x14ac:dyDescent="0.3">
      <c r="A169" s="7" t="s">
        <v>293</v>
      </c>
      <c r="B169" s="7" t="s">
        <v>15</v>
      </c>
      <c r="C169" s="8">
        <v>46071</v>
      </c>
      <c r="D169" s="7" t="s">
        <v>35</v>
      </c>
      <c r="E169" s="9">
        <v>501.91</v>
      </c>
      <c r="F169" s="7" t="s">
        <v>46</v>
      </c>
      <c r="G169" s="7" t="s">
        <v>47</v>
      </c>
      <c r="H169" s="7" t="s">
        <v>48</v>
      </c>
      <c r="I169" s="7" t="s">
        <v>20</v>
      </c>
      <c r="J169" s="7" t="str">
        <f>INDEX(Restaurants!$B$2:$B$23,MATCH(I169,Restaurants!$A$2:$A$23,0))</f>
        <v>Sea Breeze Grill</v>
      </c>
      <c r="K169" s="7" t="str">
        <f>INDEX(Restaurants!$D$2:$D$23,MATCH(I169,Restaurants!$A$2:$A$23,0))</f>
        <v>Seafood</v>
      </c>
    </row>
    <row r="170" spans="1:11" ht="15" customHeight="1" x14ac:dyDescent="0.3">
      <c r="A170" s="7" t="s">
        <v>294</v>
      </c>
      <c r="B170" s="7" t="s">
        <v>28</v>
      </c>
      <c r="C170" s="8">
        <v>46071</v>
      </c>
      <c r="D170" s="7" t="s">
        <v>45</v>
      </c>
      <c r="E170" s="9">
        <v>315.36</v>
      </c>
      <c r="F170" s="7" t="s">
        <v>168</v>
      </c>
      <c r="G170" s="7" t="s">
        <v>169</v>
      </c>
      <c r="H170" s="7" t="s">
        <v>170</v>
      </c>
      <c r="I170" s="7" t="s">
        <v>171</v>
      </c>
      <c r="J170" s="7" t="str">
        <f>INDEX(Restaurants!$B$2:$B$23,MATCH(I170,Restaurants!$A$2:$A$23,0))</f>
        <v>Manek Chowk Bites</v>
      </c>
      <c r="K170" s="7" t="str">
        <f>INDEX(Restaurants!$D$2:$D$23,MATCH(I170,Restaurants!$A$2:$A$23,0))</f>
        <v>Street Food</v>
      </c>
    </row>
    <row r="171" spans="1:11" ht="15" customHeight="1" x14ac:dyDescent="0.3">
      <c r="A171" s="7" t="s">
        <v>295</v>
      </c>
      <c r="B171" s="7" t="s">
        <v>22</v>
      </c>
      <c r="C171" s="8">
        <v>46072</v>
      </c>
      <c r="D171" s="7" t="s">
        <v>16</v>
      </c>
      <c r="E171" s="9">
        <v>291.14</v>
      </c>
      <c r="F171" s="7" t="s">
        <v>23</v>
      </c>
      <c r="G171" s="7" t="s">
        <v>24</v>
      </c>
      <c r="H171" s="7" t="s">
        <v>25</v>
      </c>
      <c r="I171" s="7" t="s">
        <v>26</v>
      </c>
      <c r="J171" s="7" t="str">
        <f>INDEX(Restaurants!$B$2:$B$23,MATCH(I171,Restaurants!$A$2:$A$23,0))</f>
        <v>Nizam's Table</v>
      </c>
      <c r="K171" s="7" t="str">
        <f>INDEX(Restaurants!$D$2:$D$23,MATCH(I171,Restaurants!$A$2:$A$23,0))</f>
        <v>Mughlai</v>
      </c>
    </row>
    <row r="172" spans="1:11" ht="15" customHeight="1" x14ac:dyDescent="0.3">
      <c r="A172" s="7" t="s">
        <v>296</v>
      </c>
      <c r="B172" s="7" t="s">
        <v>63</v>
      </c>
      <c r="C172" s="8">
        <v>46072</v>
      </c>
      <c r="D172" s="7" t="s">
        <v>16</v>
      </c>
      <c r="E172" s="9">
        <v>360.29</v>
      </c>
      <c r="F172" s="7" t="s">
        <v>65</v>
      </c>
      <c r="G172" s="7" t="s">
        <v>66</v>
      </c>
      <c r="H172" s="7" t="s">
        <v>67</v>
      </c>
      <c r="I172" s="7" t="s">
        <v>68</v>
      </c>
      <c r="J172" s="7" t="str">
        <f>INDEX(Restaurants!$B$2:$B$23,MATCH(I172,Restaurants!$A$2:$A$23,0))</f>
        <v>Puneri Misal House</v>
      </c>
      <c r="K172" s="7" t="str">
        <f>INDEX(Restaurants!$D$2:$D$23,MATCH(I172,Restaurants!$A$2:$A$23,0))</f>
        <v>Maharashtrian</v>
      </c>
    </row>
    <row r="173" spans="1:11" ht="15" customHeight="1" x14ac:dyDescent="0.3">
      <c r="A173" s="7" t="s">
        <v>297</v>
      </c>
      <c r="B173" s="7" t="s">
        <v>15</v>
      </c>
      <c r="C173" s="8">
        <v>46073</v>
      </c>
      <c r="D173" s="7" t="s">
        <v>35</v>
      </c>
      <c r="E173" s="9">
        <v>723.95</v>
      </c>
      <c r="F173" s="7" t="s">
        <v>87</v>
      </c>
      <c r="G173" s="7" t="s">
        <v>88</v>
      </c>
      <c r="H173" s="7" t="s">
        <v>89</v>
      </c>
      <c r="I173" s="7" t="s">
        <v>20</v>
      </c>
      <c r="J173" s="7" t="str">
        <f>INDEX(Restaurants!$B$2:$B$23,MATCH(I173,Restaurants!$A$2:$A$23,0))</f>
        <v>Sea Breeze Grill</v>
      </c>
      <c r="K173" s="7" t="str">
        <f>INDEX(Restaurants!$D$2:$D$23,MATCH(I173,Restaurants!$A$2:$A$23,0))</f>
        <v>Seafood</v>
      </c>
    </row>
    <row r="174" spans="1:11" ht="15" customHeight="1" x14ac:dyDescent="0.3">
      <c r="A174" s="7" t="s">
        <v>298</v>
      </c>
      <c r="B174" s="7" t="s">
        <v>63</v>
      </c>
      <c r="C174" s="8">
        <v>46073</v>
      </c>
      <c r="D174" s="7" t="s">
        <v>35</v>
      </c>
      <c r="E174" s="9">
        <v>231.8</v>
      </c>
      <c r="F174" s="7" t="s">
        <v>82</v>
      </c>
      <c r="G174" s="7" t="s">
        <v>83</v>
      </c>
      <c r="H174" s="7" t="s">
        <v>84</v>
      </c>
      <c r="I174" s="7" t="s">
        <v>85</v>
      </c>
      <c r="J174" s="7" t="str">
        <f>INDEX(Restaurants!$B$2:$B$23,MATCH(I174,Restaurants!$A$2:$A$23,0))</f>
        <v>Deccan Diner</v>
      </c>
      <c r="K174" s="7" t="str">
        <f>INDEX(Restaurants!$D$2:$D$23,MATCH(I174,Restaurants!$A$2:$A$23,0))</f>
        <v>Continental</v>
      </c>
    </row>
    <row r="175" spans="1:11" ht="15" customHeight="1" x14ac:dyDescent="0.3">
      <c r="A175" s="7" t="s">
        <v>299</v>
      </c>
      <c r="B175" s="7" t="s">
        <v>121</v>
      </c>
      <c r="C175" s="8">
        <v>46073</v>
      </c>
      <c r="D175" s="7" t="s">
        <v>16</v>
      </c>
      <c r="E175" s="9">
        <v>244.94</v>
      </c>
      <c r="F175" s="7" t="s">
        <v>143</v>
      </c>
      <c r="G175" s="7" t="s">
        <v>144</v>
      </c>
      <c r="H175" s="7" t="s">
        <v>145</v>
      </c>
      <c r="I175" s="7" t="s">
        <v>146</v>
      </c>
      <c r="J175" s="7" t="str">
        <f>INDEX(Restaurants!$B$2:$B$23,MATCH(I175,Restaurants!$A$2:$A$23,0))</f>
        <v>Delhi Darbar</v>
      </c>
      <c r="K175" s="7" t="str">
        <f>INDEX(Restaurants!$D$2:$D$23,MATCH(I175,Restaurants!$A$2:$A$23,0))</f>
        <v>North Indian</v>
      </c>
    </row>
    <row r="176" spans="1:11" ht="15" customHeight="1" x14ac:dyDescent="0.3">
      <c r="A176" s="7" t="s">
        <v>300</v>
      </c>
      <c r="B176" s="7" t="s">
        <v>63</v>
      </c>
      <c r="C176" s="8">
        <v>46074</v>
      </c>
      <c r="D176" s="7" t="s">
        <v>64</v>
      </c>
      <c r="E176" s="9">
        <v>938.22</v>
      </c>
      <c r="F176" s="7" t="s">
        <v>82</v>
      </c>
      <c r="G176" s="7" t="s">
        <v>83</v>
      </c>
      <c r="H176" s="7" t="s">
        <v>84</v>
      </c>
      <c r="I176" s="7" t="s">
        <v>85</v>
      </c>
      <c r="J176" s="7" t="str">
        <f>INDEX(Restaurants!$B$2:$B$23,MATCH(I176,Restaurants!$A$2:$A$23,0))</f>
        <v>Deccan Diner</v>
      </c>
      <c r="K176" s="7" t="str">
        <f>INDEX(Restaurants!$D$2:$D$23,MATCH(I176,Restaurants!$A$2:$A$23,0))</f>
        <v>Continental</v>
      </c>
    </row>
    <row r="177" spans="1:11" ht="15" customHeight="1" x14ac:dyDescent="0.3">
      <c r="A177" s="7" t="s">
        <v>301</v>
      </c>
      <c r="B177" s="7" t="s">
        <v>15</v>
      </c>
      <c r="C177" s="8">
        <v>46074</v>
      </c>
      <c r="D177" s="7" t="s">
        <v>16</v>
      </c>
      <c r="E177" s="9">
        <v>775.02</v>
      </c>
      <c r="F177" s="7" t="s">
        <v>46</v>
      </c>
      <c r="G177" s="7" t="s">
        <v>47</v>
      </c>
      <c r="H177" s="7" t="s">
        <v>48</v>
      </c>
      <c r="I177" s="7" t="s">
        <v>20</v>
      </c>
      <c r="J177" s="7" t="str">
        <f>INDEX(Restaurants!$B$2:$B$23,MATCH(I177,Restaurants!$A$2:$A$23,0))</f>
        <v>Sea Breeze Grill</v>
      </c>
      <c r="K177" s="7" t="str">
        <f>INDEX(Restaurants!$D$2:$D$23,MATCH(I177,Restaurants!$A$2:$A$23,0))</f>
        <v>Seafood</v>
      </c>
    </row>
    <row r="178" spans="1:11" ht="15" customHeight="1" x14ac:dyDescent="0.3">
      <c r="A178" s="7" t="s">
        <v>302</v>
      </c>
      <c r="B178" s="7" t="s">
        <v>34</v>
      </c>
      <c r="C178" s="8">
        <v>46074</v>
      </c>
      <c r="D178" s="7" t="s">
        <v>45</v>
      </c>
      <c r="E178" s="9">
        <v>655.67</v>
      </c>
      <c r="F178" s="7" t="s">
        <v>100</v>
      </c>
      <c r="G178" s="7" t="s">
        <v>101</v>
      </c>
      <c r="H178" s="7" t="s">
        <v>102</v>
      </c>
      <c r="I178" s="7" t="s">
        <v>39</v>
      </c>
      <c r="J178" s="7" t="str">
        <f>INDEX(Restaurants!$B$2:$B$23,MATCH(I178,Restaurants!$A$2:$A$23,0))</f>
        <v>Silicon Spice</v>
      </c>
      <c r="K178" s="7" t="str">
        <f>INDEX(Restaurants!$D$2:$D$23,MATCH(I178,Restaurants!$A$2:$A$23,0))</f>
        <v>Multi-Cuisine</v>
      </c>
    </row>
    <row r="179" spans="1:11" ht="15" customHeight="1" x14ac:dyDescent="0.3">
      <c r="A179" s="7" t="s">
        <v>303</v>
      </c>
      <c r="B179" s="7" t="s">
        <v>121</v>
      </c>
      <c r="C179" s="8">
        <v>46074</v>
      </c>
      <c r="D179" s="7" t="s">
        <v>16</v>
      </c>
      <c r="E179" s="9">
        <v>1158.1199999999999</v>
      </c>
      <c r="F179" s="7" t="s">
        <v>143</v>
      </c>
      <c r="G179" s="7" t="s">
        <v>144</v>
      </c>
      <c r="H179" s="7" t="s">
        <v>145</v>
      </c>
      <c r="I179" s="7" t="s">
        <v>125</v>
      </c>
      <c r="J179" s="7" t="str">
        <f>INDEX(Restaurants!$B$2:$B$23,MATCH(I179,Restaurants!$A$2:$A$23,0))</f>
        <v>Karim's Kitchen</v>
      </c>
      <c r="K179" s="7" t="str">
        <f>INDEX(Restaurants!$D$2:$D$23,MATCH(I179,Restaurants!$A$2:$A$23,0))</f>
        <v>Mughlai</v>
      </c>
    </row>
    <row r="180" spans="1:11" ht="15" customHeight="1" x14ac:dyDescent="0.3">
      <c r="A180" s="7" t="s">
        <v>304</v>
      </c>
      <c r="B180" s="7" t="s">
        <v>121</v>
      </c>
      <c r="C180" s="8">
        <v>46074</v>
      </c>
      <c r="D180" s="7" t="s">
        <v>16</v>
      </c>
      <c r="E180" s="9">
        <v>999.4</v>
      </c>
      <c r="F180" s="7" t="s">
        <v>122</v>
      </c>
      <c r="G180" s="7" t="s">
        <v>123</v>
      </c>
      <c r="H180" s="7" t="s">
        <v>124</v>
      </c>
      <c r="I180" s="7" t="s">
        <v>146</v>
      </c>
      <c r="J180" s="7" t="str">
        <f>INDEX(Restaurants!$B$2:$B$23,MATCH(I180,Restaurants!$A$2:$A$23,0))</f>
        <v>Delhi Darbar</v>
      </c>
      <c r="K180" s="7" t="str">
        <f>INDEX(Restaurants!$D$2:$D$23,MATCH(I180,Restaurants!$A$2:$A$23,0))</f>
        <v>North Indian</v>
      </c>
    </row>
    <row r="181" spans="1:11" ht="15" customHeight="1" x14ac:dyDescent="0.3">
      <c r="A181" s="7" t="s">
        <v>305</v>
      </c>
      <c r="B181" s="7" t="s">
        <v>22</v>
      </c>
      <c r="C181" s="8">
        <v>46074</v>
      </c>
      <c r="D181" s="7" t="s">
        <v>16</v>
      </c>
      <c r="E181" s="9">
        <v>347.82</v>
      </c>
      <c r="F181" s="7" t="s">
        <v>41</v>
      </c>
      <c r="G181" s="7" t="s">
        <v>42</v>
      </c>
      <c r="H181" s="7" t="s">
        <v>43</v>
      </c>
      <c r="I181" s="7" t="s">
        <v>26</v>
      </c>
      <c r="J181" s="7" t="str">
        <f>INDEX(Restaurants!$B$2:$B$23,MATCH(I181,Restaurants!$A$2:$A$23,0))</f>
        <v>Nizam's Table</v>
      </c>
      <c r="K181" s="7" t="str">
        <f>INDEX(Restaurants!$D$2:$D$23,MATCH(I181,Restaurants!$A$2:$A$23,0))</f>
        <v>Mughlai</v>
      </c>
    </row>
    <row r="182" spans="1:11" ht="15" customHeight="1" x14ac:dyDescent="0.3">
      <c r="A182" s="7" t="s">
        <v>306</v>
      </c>
      <c r="B182" s="7" t="s">
        <v>63</v>
      </c>
      <c r="C182" s="8">
        <v>46075</v>
      </c>
      <c r="D182" s="7" t="s">
        <v>16</v>
      </c>
      <c r="E182" s="9">
        <v>297.66000000000003</v>
      </c>
      <c r="F182" s="7" t="s">
        <v>150</v>
      </c>
      <c r="G182" s="7" t="s">
        <v>151</v>
      </c>
      <c r="H182" s="7" t="s">
        <v>152</v>
      </c>
      <c r="I182" s="7" t="s">
        <v>85</v>
      </c>
      <c r="J182" s="7" t="str">
        <f>INDEX(Restaurants!$B$2:$B$23,MATCH(I182,Restaurants!$A$2:$A$23,0))</f>
        <v>Deccan Diner</v>
      </c>
      <c r="K182" s="7" t="str">
        <f>INDEX(Restaurants!$D$2:$D$23,MATCH(I182,Restaurants!$A$2:$A$23,0))</f>
        <v>Continental</v>
      </c>
    </row>
    <row r="183" spans="1:11" ht="15" customHeight="1" x14ac:dyDescent="0.3">
      <c r="A183" s="7" t="s">
        <v>307</v>
      </c>
      <c r="B183" s="7" t="s">
        <v>121</v>
      </c>
      <c r="C183" s="8">
        <v>46075</v>
      </c>
      <c r="D183" s="7" t="s">
        <v>16</v>
      </c>
      <c r="E183" s="9">
        <v>377.52</v>
      </c>
      <c r="F183" s="7" t="s">
        <v>143</v>
      </c>
      <c r="G183" s="7" t="s">
        <v>144</v>
      </c>
      <c r="H183" s="7" t="s">
        <v>145</v>
      </c>
      <c r="I183" s="7" t="s">
        <v>125</v>
      </c>
      <c r="J183" s="7" t="str">
        <f>INDEX(Restaurants!$B$2:$B$23,MATCH(I183,Restaurants!$A$2:$A$23,0))</f>
        <v>Karim's Kitchen</v>
      </c>
      <c r="K183" s="7" t="str">
        <f>INDEX(Restaurants!$D$2:$D$23,MATCH(I183,Restaurants!$A$2:$A$23,0))</f>
        <v>Mughlai</v>
      </c>
    </row>
    <row r="184" spans="1:11" ht="15" customHeight="1" x14ac:dyDescent="0.3">
      <c r="A184" s="7" t="s">
        <v>308</v>
      </c>
      <c r="B184" s="7" t="s">
        <v>15</v>
      </c>
      <c r="C184" s="8">
        <v>46075</v>
      </c>
      <c r="D184" s="7" t="s">
        <v>16</v>
      </c>
      <c r="E184" s="9">
        <v>919.7</v>
      </c>
      <c r="F184" s="7" t="s">
        <v>46</v>
      </c>
      <c r="G184" s="7" t="s">
        <v>47</v>
      </c>
      <c r="H184" s="7" t="s">
        <v>48</v>
      </c>
      <c r="I184" s="7" t="s">
        <v>49</v>
      </c>
      <c r="J184" s="7" t="str">
        <f>INDEX(Restaurants!$B$2:$B$23,MATCH(I184,Restaurants!$A$2:$A$23,0))</f>
        <v>Bombay Bites</v>
      </c>
      <c r="K184" s="7" t="str">
        <f>INDEX(Restaurants!$D$2:$D$23,MATCH(I184,Restaurants!$A$2:$A$23,0))</f>
        <v>Street Food</v>
      </c>
    </row>
    <row r="185" spans="1:11" ht="15" customHeight="1" x14ac:dyDescent="0.3">
      <c r="A185" s="7" t="s">
        <v>309</v>
      </c>
      <c r="B185" s="7" t="s">
        <v>70</v>
      </c>
      <c r="C185" s="8">
        <v>46075</v>
      </c>
      <c r="D185" s="7" t="s">
        <v>64</v>
      </c>
      <c r="E185" s="9">
        <v>530.54</v>
      </c>
      <c r="F185" s="7" t="s">
        <v>111</v>
      </c>
      <c r="G185" s="7" t="s">
        <v>112</v>
      </c>
      <c r="H185" s="7" t="s">
        <v>113</v>
      </c>
      <c r="I185" s="7" t="s">
        <v>114</v>
      </c>
      <c r="J185" s="7" t="str">
        <f>INDEX(Restaurants!$B$2:$B$23,MATCH(I185,Restaurants!$A$2:$A$23,0))</f>
        <v>Marina Meals</v>
      </c>
      <c r="K185" s="7" t="str">
        <f>INDEX(Restaurants!$D$2:$D$23,MATCH(I185,Restaurants!$A$2:$A$23,0))</f>
        <v>South Indian</v>
      </c>
    </row>
    <row r="186" spans="1:11" ht="15" customHeight="1" x14ac:dyDescent="0.3">
      <c r="A186" s="7" t="s">
        <v>310</v>
      </c>
      <c r="B186" s="7" t="s">
        <v>121</v>
      </c>
      <c r="C186" s="8">
        <v>46075</v>
      </c>
      <c r="D186" s="7" t="s">
        <v>16</v>
      </c>
      <c r="E186" s="9">
        <v>635.76</v>
      </c>
      <c r="F186" s="7" t="s">
        <v>173</v>
      </c>
      <c r="G186" s="7" t="s">
        <v>174</v>
      </c>
      <c r="H186" s="7" t="s">
        <v>175</v>
      </c>
      <c r="I186" s="7" t="s">
        <v>125</v>
      </c>
      <c r="J186" s="7" t="str">
        <f>INDEX(Restaurants!$B$2:$B$23,MATCH(I186,Restaurants!$A$2:$A$23,0))</f>
        <v>Karim's Kitchen</v>
      </c>
      <c r="K186" s="7" t="str">
        <f>INDEX(Restaurants!$D$2:$D$23,MATCH(I186,Restaurants!$A$2:$A$23,0))</f>
        <v>Mughlai</v>
      </c>
    </row>
    <row r="187" spans="1:11" ht="15" customHeight="1" x14ac:dyDescent="0.3">
      <c r="A187" s="7" t="s">
        <v>311</v>
      </c>
      <c r="B187" s="7" t="s">
        <v>91</v>
      </c>
      <c r="C187" s="8">
        <v>46075</v>
      </c>
      <c r="D187" s="7" t="s">
        <v>64</v>
      </c>
      <c r="E187" s="9">
        <v>289.22000000000003</v>
      </c>
      <c r="F187" s="7" t="s">
        <v>156</v>
      </c>
      <c r="G187" s="7" t="s">
        <v>157</v>
      </c>
      <c r="H187" s="7" t="s">
        <v>158</v>
      </c>
      <c r="I187" s="7" t="s">
        <v>130</v>
      </c>
      <c r="J187" s="7" t="str">
        <f>INDEX(Restaurants!$B$2:$B$23,MATCH(I187,Restaurants!$A$2:$A$23,0))</f>
        <v>Pink City Rasoi</v>
      </c>
      <c r="K187" s="7" t="str">
        <f>INDEX(Restaurants!$D$2:$D$23,MATCH(I187,Restaurants!$A$2:$A$23,0))</f>
        <v>Rajasthani</v>
      </c>
    </row>
    <row r="188" spans="1:11" ht="15" customHeight="1" x14ac:dyDescent="0.3">
      <c r="A188" s="7" t="s">
        <v>312</v>
      </c>
      <c r="B188" s="7" t="s">
        <v>34</v>
      </c>
      <c r="C188" s="8">
        <v>46075</v>
      </c>
      <c r="D188" s="7" t="s">
        <v>35</v>
      </c>
      <c r="E188" s="9">
        <v>891.57</v>
      </c>
      <c r="F188" s="7" t="s">
        <v>105</v>
      </c>
      <c r="G188" s="7" t="s">
        <v>106</v>
      </c>
      <c r="H188" s="7" t="s">
        <v>107</v>
      </c>
      <c r="I188" s="7" t="s">
        <v>39</v>
      </c>
      <c r="J188" s="7" t="str">
        <f>INDEX(Restaurants!$B$2:$B$23,MATCH(I188,Restaurants!$A$2:$A$23,0))</f>
        <v>Silicon Spice</v>
      </c>
      <c r="K188" s="7" t="str">
        <f>INDEX(Restaurants!$D$2:$D$23,MATCH(I188,Restaurants!$A$2:$A$23,0))</f>
        <v>Multi-Cuisine</v>
      </c>
    </row>
    <row r="189" spans="1:11" ht="15" customHeight="1" x14ac:dyDescent="0.3">
      <c r="A189" s="7" t="s">
        <v>313</v>
      </c>
      <c r="B189" s="7" t="s">
        <v>121</v>
      </c>
      <c r="C189" s="8">
        <v>46075</v>
      </c>
      <c r="D189" s="7" t="s">
        <v>16</v>
      </c>
      <c r="E189" s="9">
        <v>753.29</v>
      </c>
      <c r="F189" s="7" t="s">
        <v>173</v>
      </c>
      <c r="G189" s="7" t="s">
        <v>174</v>
      </c>
      <c r="H189" s="7" t="s">
        <v>175</v>
      </c>
      <c r="I189" s="7" t="s">
        <v>146</v>
      </c>
      <c r="J189" s="7" t="str">
        <f>INDEX(Restaurants!$B$2:$B$23,MATCH(I189,Restaurants!$A$2:$A$23,0))</f>
        <v>Delhi Darbar</v>
      </c>
      <c r="K189" s="7" t="str">
        <f>INDEX(Restaurants!$D$2:$D$23,MATCH(I189,Restaurants!$A$2:$A$23,0))</f>
        <v>North Indian</v>
      </c>
    </row>
    <row r="190" spans="1:11" ht="15" customHeight="1" x14ac:dyDescent="0.3">
      <c r="A190" s="7" t="s">
        <v>314</v>
      </c>
      <c r="B190" s="7" t="s">
        <v>28</v>
      </c>
      <c r="C190" s="8">
        <v>46076</v>
      </c>
      <c r="D190" s="7" t="s">
        <v>16</v>
      </c>
      <c r="E190" s="9">
        <v>267.60000000000002</v>
      </c>
      <c r="F190" s="7" t="s">
        <v>168</v>
      </c>
      <c r="G190" s="7" t="s">
        <v>169</v>
      </c>
      <c r="H190" s="7" t="s">
        <v>170</v>
      </c>
      <c r="I190" s="7" t="s">
        <v>171</v>
      </c>
      <c r="J190" s="7" t="str">
        <f>INDEX(Restaurants!$B$2:$B$23,MATCH(I190,Restaurants!$A$2:$A$23,0))</f>
        <v>Manek Chowk Bites</v>
      </c>
      <c r="K190" s="7" t="str">
        <f>INDEX(Restaurants!$D$2:$D$23,MATCH(I190,Restaurants!$A$2:$A$23,0))</f>
        <v>Street Food</v>
      </c>
    </row>
    <row r="191" spans="1:11" ht="15" customHeight="1" x14ac:dyDescent="0.3">
      <c r="A191" s="7" t="s">
        <v>315</v>
      </c>
      <c r="B191" s="7" t="s">
        <v>121</v>
      </c>
      <c r="C191" s="8">
        <v>46076</v>
      </c>
      <c r="D191" s="7" t="s">
        <v>35</v>
      </c>
      <c r="E191" s="9">
        <v>735.51</v>
      </c>
      <c r="F191" s="7" t="s">
        <v>173</v>
      </c>
      <c r="G191" s="7" t="s">
        <v>174</v>
      </c>
      <c r="H191" s="7" t="s">
        <v>175</v>
      </c>
      <c r="I191" s="7" t="s">
        <v>146</v>
      </c>
      <c r="J191" s="7" t="str">
        <f>INDEX(Restaurants!$B$2:$B$23,MATCH(I191,Restaurants!$A$2:$A$23,0))</f>
        <v>Delhi Darbar</v>
      </c>
      <c r="K191" s="7" t="str">
        <f>INDEX(Restaurants!$D$2:$D$23,MATCH(I191,Restaurants!$A$2:$A$23,0))</f>
        <v>North Indian</v>
      </c>
    </row>
    <row r="192" spans="1:11" ht="15" customHeight="1" x14ac:dyDescent="0.3">
      <c r="A192" s="7" t="s">
        <v>316</v>
      </c>
      <c r="B192" s="7" t="s">
        <v>91</v>
      </c>
      <c r="C192" s="8">
        <v>46076</v>
      </c>
      <c r="D192" s="7" t="s">
        <v>16</v>
      </c>
      <c r="E192" s="9">
        <v>315.31</v>
      </c>
      <c r="F192" s="7" t="s">
        <v>92</v>
      </c>
      <c r="G192" s="7" t="s">
        <v>93</v>
      </c>
      <c r="H192" s="7" t="s">
        <v>94</v>
      </c>
      <c r="I192" s="7" t="s">
        <v>95</v>
      </c>
      <c r="J192" s="7" t="str">
        <f>INDEX(Restaurants!$B$2:$B$23,MATCH(I192,Restaurants!$A$2:$A$23,0))</f>
        <v>Royal Thali Palace</v>
      </c>
      <c r="K192" s="7" t="str">
        <f>INDEX(Restaurants!$D$2:$D$23,MATCH(I192,Restaurants!$A$2:$A$23,0))</f>
        <v>Rajasthani</v>
      </c>
    </row>
    <row r="193" spans="1:11" ht="15" customHeight="1" x14ac:dyDescent="0.3">
      <c r="A193" s="7" t="s">
        <v>317</v>
      </c>
      <c r="B193" s="7" t="s">
        <v>91</v>
      </c>
      <c r="C193" s="8">
        <v>46076</v>
      </c>
      <c r="D193" s="7" t="s">
        <v>45</v>
      </c>
      <c r="E193" s="9">
        <v>617.05999999999995</v>
      </c>
      <c r="F193" s="7" t="s">
        <v>156</v>
      </c>
      <c r="G193" s="7" t="s">
        <v>157</v>
      </c>
      <c r="H193" s="7" t="s">
        <v>158</v>
      </c>
      <c r="I193" s="7" t="s">
        <v>95</v>
      </c>
      <c r="J193" s="7" t="str">
        <f>INDEX(Restaurants!$B$2:$B$23,MATCH(I193,Restaurants!$A$2:$A$23,0))</f>
        <v>Royal Thali Palace</v>
      </c>
      <c r="K193" s="7" t="str">
        <f>INDEX(Restaurants!$D$2:$D$23,MATCH(I193,Restaurants!$A$2:$A$23,0))</f>
        <v>Rajasthani</v>
      </c>
    </row>
    <row r="194" spans="1:11" ht="15" customHeight="1" x14ac:dyDescent="0.3">
      <c r="A194" s="7" t="s">
        <v>318</v>
      </c>
      <c r="B194" s="7" t="s">
        <v>121</v>
      </c>
      <c r="C194" s="8">
        <v>46077</v>
      </c>
      <c r="D194" s="7" t="s">
        <v>16</v>
      </c>
      <c r="E194" s="9">
        <v>183.38</v>
      </c>
      <c r="F194" s="7" t="s">
        <v>173</v>
      </c>
      <c r="G194" s="7" t="s">
        <v>174</v>
      </c>
      <c r="H194" s="7" t="s">
        <v>175</v>
      </c>
      <c r="I194" s="7" t="s">
        <v>146</v>
      </c>
      <c r="J194" s="7" t="str">
        <f>INDEX(Restaurants!$B$2:$B$23,MATCH(I194,Restaurants!$A$2:$A$23,0))</f>
        <v>Delhi Darbar</v>
      </c>
      <c r="K194" s="7" t="str">
        <f>INDEX(Restaurants!$D$2:$D$23,MATCH(I194,Restaurants!$A$2:$A$23,0))</f>
        <v>North Indian</v>
      </c>
    </row>
    <row r="195" spans="1:11" ht="15" customHeight="1" x14ac:dyDescent="0.3">
      <c r="A195" s="7" t="s">
        <v>319</v>
      </c>
      <c r="B195" s="7" t="s">
        <v>15</v>
      </c>
      <c r="C195" s="8">
        <v>46077</v>
      </c>
      <c r="D195" s="7" t="s">
        <v>16</v>
      </c>
      <c r="E195" s="9">
        <v>1110.1400000000001</v>
      </c>
      <c r="F195" s="7" t="s">
        <v>87</v>
      </c>
      <c r="G195" s="7" t="s">
        <v>88</v>
      </c>
      <c r="H195" s="7" t="s">
        <v>89</v>
      </c>
      <c r="I195" s="7" t="s">
        <v>20</v>
      </c>
      <c r="J195" s="7" t="str">
        <f>INDEX(Restaurants!$B$2:$B$23,MATCH(I195,Restaurants!$A$2:$A$23,0))</f>
        <v>Sea Breeze Grill</v>
      </c>
      <c r="K195" s="7" t="str">
        <f>INDEX(Restaurants!$D$2:$D$23,MATCH(I195,Restaurants!$A$2:$A$23,0))</f>
        <v>Seafood</v>
      </c>
    </row>
    <row r="196" spans="1:11" ht="15" customHeight="1" x14ac:dyDescent="0.3">
      <c r="A196" s="7" t="s">
        <v>320</v>
      </c>
      <c r="B196" s="7" t="s">
        <v>15</v>
      </c>
      <c r="C196" s="8">
        <v>46077</v>
      </c>
      <c r="D196" s="7" t="s">
        <v>16</v>
      </c>
      <c r="E196" s="9">
        <v>1155.77</v>
      </c>
      <c r="F196" s="7" t="s">
        <v>46</v>
      </c>
      <c r="G196" s="7" t="s">
        <v>47</v>
      </c>
      <c r="H196" s="7" t="s">
        <v>48</v>
      </c>
      <c r="I196" s="7" t="s">
        <v>49</v>
      </c>
      <c r="J196" s="7" t="str">
        <f>INDEX(Restaurants!$B$2:$B$23,MATCH(I196,Restaurants!$A$2:$A$23,0))</f>
        <v>Bombay Bites</v>
      </c>
      <c r="K196" s="7" t="str">
        <f>INDEX(Restaurants!$D$2:$D$23,MATCH(I196,Restaurants!$A$2:$A$23,0))</f>
        <v>Street Food</v>
      </c>
    </row>
    <row r="197" spans="1:11" ht="15" customHeight="1" x14ac:dyDescent="0.3">
      <c r="A197" s="7" t="s">
        <v>321</v>
      </c>
      <c r="B197" s="7" t="s">
        <v>121</v>
      </c>
      <c r="C197" s="8">
        <v>46077</v>
      </c>
      <c r="D197" s="7" t="s">
        <v>16</v>
      </c>
      <c r="E197" s="9">
        <v>681.31</v>
      </c>
      <c r="F197" s="7" t="s">
        <v>143</v>
      </c>
      <c r="G197" s="7" t="s">
        <v>144</v>
      </c>
      <c r="H197" s="7" t="s">
        <v>145</v>
      </c>
      <c r="I197" s="7" t="s">
        <v>125</v>
      </c>
      <c r="J197" s="7" t="str">
        <f>INDEX(Restaurants!$B$2:$B$23,MATCH(I197,Restaurants!$A$2:$A$23,0))</f>
        <v>Karim's Kitchen</v>
      </c>
      <c r="K197" s="7" t="str">
        <f>INDEX(Restaurants!$D$2:$D$23,MATCH(I197,Restaurants!$A$2:$A$23,0))</f>
        <v>Mughlai</v>
      </c>
    </row>
    <row r="198" spans="1:11" ht="15" customHeight="1" x14ac:dyDescent="0.3">
      <c r="A198" s="7" t="s">
        <v>322</v>
      </c>
      <c r="B198" s="7" t="s">
        <v>15</v>
      </c>
      <c r="C198" s="8">
        <v>46077</v>
      </c>
      <c r="D198" s="7" t="s">
        <v>35</v>
      </c>
      <c r="E198" s="9">
        <v>982.67</v>
      </c>
      <c r="F198" s="7" t="s">
        <v>87</v>
      </c>
      <c r="G198" s="7" t="s">
        <v>88</v>
      </c>
      <c r="H198" s="7" t="s">
        <v>89</v>
      </c>
      <c r="I198" s="7" t="s">
        <v>49</v>
      </c>
      <c r="J198" s="7" t="str">
        <f>INDEX(Restaurants!$B$2:$B$23,MATCH(I198,Restaurants!$A$2:$A$23,0))</f>
        <v>Bombay Bites</v>
      </c>
      <c r="K198" s="7" t="str">
        <f>INDEX(Restaurants!$D$2:$D$23,MATCH(I198,Restaurants!$A$2:$A$23,0))</f>
        <v>Street Food</v>
      </c>
    </row>
    <row r="199" spans="1:11" ht="15" customHeight="1" x14ac:dyDescent="0.3">
      <c r="A199" s="7" t="s">
        <v>323</v>
      </c>
      <c r="B199" s="7" t="s">
        <v>34</v>
      </c>
      <c r="C199" s="8">
        <v>46078</v>
      </c>
      <c r="D199" s="7" t="s">
        <v>16</v>
      </c>
      <c r="E199" s="9">
        <v>349.69</v>
      </c>
      <c r="F199" s="7" t="s">
        <v>105</v>
      </c>
      <c r="G199" s="7" t="s">
        <v>106</v>
      </c>
      <c r="H199" s="7" t="s">
        <v>107</v>
      </c>
      <c r="I199" s="7" t="s">
        <v>39</v>
      </c>
      <c r="J199" s="7" t="str">
        <f>INDEX(Restaurants!$B$2:$B$23,MATCH(I199,Restaurants!$A$2:$A$23,0))</f>
        <v>Silicon Spice</v>
      </c>
      <c r="K199" s="7" t="str">
        <f>INDEX(Restaurants!$D$2:$D$23,MATCH(I199,Restaurants!$A$2:$A$23,0))</f>
        <v>Multi-Cuisine</v>
      </c>
    </row>
    <row r="200" spans="1:11" ht="15" customHeight="1" x14ac:dyDescent="0.3">
      <c r="A200" s="7" t="s">
        <v>324</v>
      </c>
      <c r="B200" s="7" t="s">
        <v>15</v>
      </c>
      <c r="C200" s="8">
        <v>46078</v>
      </c>
      <c r="D200" s="7" t="s">
        <v>64</v>
      </c>
      <c r="E200" s="9">
        <v>258.27</v>
      </c>
      <c r="F200" s="7" t="s">
        <v>46</v>
      </c>
      <c r="G200" s="7" t="s">
        <v>47</v>
      </c>
      <c r="H200" s="7" t="s">
        <v>48</v>
      </c>
      <c r="I200" s="7" t="s">
        <v>20</v>
      </c>
      <c r="J200" s="7" t="str">
        <f>INDEX(Restaurants!$B$2:$B$23,MATCH(I200,Restaurants!$A$2:$A$23,0))</f>
        <v>Sea Breeze Grill</v>
      </c>
      <c r="K200" s="7" t="str">
        <f>INDEX(Restaurants!$D$2:$D$23,MATCH(I200,Restaurants!$A$2:$A$23,0))</f>
        <v>Seafood</v>
      </c>
    </row>
    <row r="201" spans="1:11" ht="15" customHeight="1" x14ac:dyDescent="0.3">
      <c r="A201" s="7" t="s">
        <v>325</v>
      </c>
      <c r="B201" s="7" t="s">
        <v>76</v>
      </c>
      <c r="C201" s="8">
        <v>46078</v>
      </c>
      <c r="D201" s="7" t="s">
        <v>16</v>
      </c>
      <c r="E201" s="9">
        <v>497.95</v>
      </c>
      <c r="F201" s="7" t="s">
        <v>77</v>
      </c>
      <c r="G201" s="7" t="s">
        <v>78</v>
      </c>
      <c r="H201" s="7" t="s">
        <v>79</v>
      </c>
      <c r="I201" s="7" t="s">
        <v>80</v>
      </c>
      <c r="J201" s="7" t="str">
        <f>INDEX(Restaurants!$B$2:$B$23,MATCH(I201,Restaurants!$A$2:$A$23,0))</f>
        <v>Bong Bhoj</v>
      </c>
      <c r="K201" s="7" t="str">
        <f>INDEX(Restaurants!$D$2:$D$23,MATCH(I201,Restaurants!$A$2:$A$23,0))</f>
        <v>Bengali</v>
      </c>
    </row>
    <row r="202" spans="1:11" ht="15" customHeight="1" x14ac:dyDescent="0.3">
      <c r="A202" s="7" t="s">
        <v>326</v>
      </c>
      <c r="B202" s="7" t="s">
        <v>15</v>
      </c>
      <c r="C202" s="8">
        <v>46078</v>
      </c>
      <c r="D202" s="7" t="s">
        <v>45</v>
      </c>
      <c r="E202" s="9">
        <v>356.66</v>
      </c>
      <c r="F202" s="7" t="s">
        <v>46</v>
      </c>
      <c r="G202" s="7" t="s">
        <v>47</v>
      </c>
      <c r="H202" s="7" t="s">
        <v>48</v>
      </c>
      <c r="I202" s="7" t="s">
        <v>20</v>
      </c>
      <c r="J202" s="7" t="str">
        <f>INDEX(Restaurants!$B$2:$B$23,MATCH(I202,Restaurants!$A$2:$A$23,0))</f>
        <v>Sea Breeze Grill</v>
      </c>
      <c r="K202" s="7" t="str">
        <f>INDEX(Restaurants!$D$2:$D$23,MATCH(I202,Restaurants!$A$2:$A$23,0))</f>
        <v>Seafood</v>
      </c>
    </row>
    <row r="203" spans="1:11" ht="15" customHeight="1" x14ac:dyDescent="0.3">
      <c r="A203" s="7" t="s">
        <v>327</v>
      </c>
      <c r="B203" s="7" t="s">
        <v>121</v>
      </c>
      <c r="C203" s="8">
        <v>46079</v>
      </c>
      <c r="D203" s="7" t="s">
        <v>16</v>
      </c>
      <c r="E203" s="9">
        <v>385</v>
      </c>
      <c r="F203" s="7" t="s">
        <v>122</v>
      </c>
      <c r="G203" s="7" t="s">
        <v>123</v>
      </c>
      <c r="H203" s="7" t="s">
        <v>124</v>
      </c>
      <c r="I203" s="7" t="s">
        <v>125</v>
      </c>
      <c r="J203" s="7" t="str">
        <f>INDEX(Restaurants!$B$2:$B$23,MATCH(I203,Restaurants!$A$2:$A$23,0))</f>
        <v>Karim's Kitchen</v>
      </c>
      <c r="K203" s="7" t="str">
        <f>INDEX(Restaurants!$D$2:$D$23,MATCH(I203,Restaurants!$A$2:$A$23,0))</f>
        <v>Mughlai</v>
      </c>
    </row>
    <row r="204" spans="1:11" ht="15" customHeight="1" x14ac:dyDescent="0.3">
      <c r="A204" s="7" t="s">
        <v>328</v>
      </c>
      <c r="B204" s="7" t="s">
        <v>22</v>
      </c>
      <c r="C204" s="8">
        <v>46079</v>
      </c>
      <c r="D204" s="7" t="s">
        <v>45</v>
      </c>
      <c r="E204" s="9">
        <v>362.34</v>
      </c>
      <c r="F204" s="7" t="s">
        <v>23</v>
      </c>
      <c r="G204" s="7" t="s">
        <v>24</v>
      </c>
      <c r="H204" s="7" t="s">
        <v>25</v>
      </c>
      <c r="I204" s="7" t="s">
        <v>26</v>
      </c>
      <c r="J204" s="7" t="str">
        <f>INDEX(Restaurants!$B$2:$B$23,MATCH(I204,Restaurants!$A$2:$A$23,0))</f>
        <v>Nizam's Table</v>
      </c>
      <c r="K204" s="7" t="str">
        <f>INDEX(Restaurants!$D$2:$D$23,MATCH(I204,Restaurants!$A$2:$A$23,0))</f>
        <v>Mughlai</v>
      </c>
    </row>
    <row r="205" spans="1:11" ht="15" customHeight="1" x14ac:dyDescent="0.3">
      <c r="A205" s="7" t="s">
        <v>329</v>
      </c>
      <c r="B205" s="7" t="s">
        <v>28</v>
      </c>
      <c r="C205" s="8">
        <v>46079</v>
      </c>
      <c r="D205" s="7" t="s">
        <v>45</v>
      </c>
      <c r="E205" s="9">
        <v>392.49</v>
      </c>
      <c r="F205" s="7" t="s">
        <v>29</v>
      </c>
      <c r="G205" s="7" t="s">
        <v>30</v>
      </c>
      <c r="H205" s="7" t="s">
        <v>31</v>
      </c>
      <c r="I205" s="7" t="s">
        <v>171</v>
      </c>
      <c r="J205" s="7" t="str">
        <f>INDEX(Restaurants!$B$2:$B$23,MATCH(I205,Restaurants!$A$2:$A$23,0))</f>
        <v>Manek Chowk Bites</v>
      </c>
      <c r="K205" s="7" t="str">
        <f>INDEX(Restaurants!$D$2:$D$23,MATCH(I205,Restaurants!$A$2:$A$23,0))</f>
        <v>Street Food</v>
      </c>
    </row>
    <row r="206" spans="1:11" ht="15" customHeight="1" x14ac:dyDescent="0.3">
      <c r="A206" s="7" t="s">
        <v>330</v>
      </c>
      <c r="B206" s="7" t="s">
        <v>57</v>
      </c>
      <c r="C206" s="8">
        <v>46080</v>
      </c>
      <c r="D206" s="7" t="s">
        <v>16</v>
      </c>
      <c r="E206" s="9">
        <v>245.04</v>
      </c>
      <c r="F206" s="7" t="s">
        <v>58</v>
      </c>
      <c r="G206" s="7" t="s">
        <v>59</v>
      </c>
      <c r="H206" s="7" t="s">
        <v>60</v>
      </c>
      <c r="I206" s="7" t="s">
        <v>154</v>
      </c>
      <c r="J206" s="7" t="str">
        <f>INDEX(Restaurants!$B$2:$B$23,MATCH(I206,Restaurants!$A$2:$A$23,0))</f>
        <v>Kerala Backwater Kitchen</v>
      </c>
      <c r="K206" s="7" t="str">
        <f>INDEX(Restaurants!$D$2:$D$23,MATCH(I206,Restaurants!$A$2:$A$23,0))</f>
        <v>Kerala</v>
      </c>
    </row>
    <row r="207" spans="1:11" ht="15" customHeight="1" x14ac:dyDescent="0.3">
      <c r="A207" s="7" t="s">
        <v>331</v>
      </c>
      <c r="B207" s="7" t="s">
        <v>15</v>
      </c>
      <c r="C207" s="8">
        <v>46080</v>
      </c>
      <c r="D207" s="7" t="s">
        <v>16</v>
      </c>
      <c r="E207" s="9">
        <v>769.57</v>
      </c>
      <c r="F207" s="7" t="s">
        <v>17</v>
      </c>
      <c r="G207" s="7" t="s">
        <v>18</v>
      </c>
      <c r="H207" s="7" t="s">
        <v>19</v>
      </c>
      <c r="I207" s="7" t="s">
        <v>20</v>
      </c>
      <c r="J207" s="7" t="str">
        <f>INDEX(Restaurants!$B$2:$B$23,MATCH(I207,Restaurants!$A$2:$A$23,0))</f>
        <v>Sea Breeze Grill</v>
      </c>
      <c r="K207" s="7" t="str">
        <f>INDEX(Restaurants!$D$2:$D$23,MATCH(I207,Restaurants!$A$2:$A$23,0))</f>
        <v>Seafood</v>
      </c>
    </row>
    <row r="208" spans="1:11" ht="15" customHeight="1" x14ac:dyDescent="0.3">
      <c r="A208" s="7" t="s">
        <v>332</v>
      </c>
      <c r="B208" s="7" t="s">
        <v>51</v>
      </c>
      <c r="C208" s="8">
        <v>46080</v>
      </c>
      <c r="D208" s="7" t="s">
        <v>16</v>
      </c>
      <c r="E208" s="9">
        <v>923.69</v>
      </c>
      <c r="F208" s="7" t="s">
        <v>134</v>
      </c>
      <c r="G208" s="7" t="s">
        <v>135</v>
      </c>
      <c r="H208" s="7" t="s">
        <v>136</v>
      </c>
      <c r="I208" s="7" t="s">
        <v>137</v>
      </c>
      <c r="J208" s="7" t="str">
        <f>INDEX(Restaurants!$B$2:$B$23,MATCH(I208,Restaurants!$A$2:$A$23,0))</f>
        <v>Nawabi Nights</v>
      </c>
      <c r="K208" s="7" t="str">
        <f>INDEX(Restaurants!$D$2:$D$23,MATCH(I208,Restaurants!$A$2:$A$23,0))</f>
        <v>Mughlai</v>
      </c>
    </row>
    <row r="209" spans="1:11" ht="15" customHeight="1" x14ac:dyDescent="0.3">
      <c r="A209" s="7" t="s">
        <v>333</v>
      </c>
      <c r="B209" s="7" t="s">
        <v>22</v>
      </c>
      <c r="C209" s="8">
        <v>46081</v>
      </c>
      <c r="D209" s="7" t="s">
        <v>45</v>
      </c>
      <c r="E209" s="9">
        <v>542.66999999999996</v>
      </c>
      <c r="F209" s="7" t="s">
        <v>41</v>
      </c>
      <c r="G209" s="7" t="s">
        <v>42</v>
      </c>
      <c r="H209" s="7" t="s">
        <v>43</v>
      </c>
      <c r="I209" s="7" t="s">
        <v>98</v>
      </c>
      <c r="J209" s="7" t="str">
        <f>INDEX(Restaurants!$B$2:$B$23,MATCH(I209,Restaurants!$A$2:$A$23,0))</f>
        <v>Hyderabadi Biryani House</v>
      </c>
      <c r="K209" s="7" t="str">
        <f>INDEX(Restaurants!$D$2:$D$23,MATCH(I209,Restaurants!$A$2:$A$23,0))</f>
        <v>Biryani</v>
      </c>
    </row>
    <row r="210" spans="1:11" ht="15" customHeight="1" x14ac:dyDescent="0.3">
      <c r="A210" s="7" t="s">
        <v>334</v>
      </c>
      <c r="B210" s="7" t="s">
        <v>121</v>
      </c>
      <c r="C210" s="8">
        <v>46081</v>
      </c>
      <c r="D210" s="7" t="s">
        <v>16</v>
      </c>
      <c r="E210" s="9">
        <v>622.49</v>
      </c>
      <c r="F210" s="7" t="s">
        <v>173</v>
      </c>
      <c r="G210" s="7" t="s">
        <v>174</v>
      </c>
      <c r="H210" s="7" t="s">
        <v>175</v>
      </c>
      <c r="I210" s="7" t="s">
        <v>146</v>
      </c>
      <c r="J210" s="7" t="str">
        <f>INDEX(Restaurants!$B$2:$B$23,MATCH(I210,Restaurants!$A$2:$A$23,0))</f>
        <v>Delhi Darbar</v>
      </c>
      <c r="K210" s="7" t="str">
        <f>INDEX(Restaurants!$D$2:$D$23,MATCH(I210,Restaurants!$A$2:$A$23,0))</f>
        <v>North Indian</v>
      </c>
    </row>
    <row r="211" spans="1:11" ht="15" customHeight="1" x14ac:dyDescent="0.3">
      <c r="A211" s="7" t="s">
        <v>335</v>
      </c>
      <c r="B211" s="7" t="s">
        <v>91</v>
      </c>
      <c r="C211" s="8">
        <v>46081</v>
      </c>
      <c r="D211" s="7" t="s">
        <v>16</v>
      </c>
      <c r="E211" s="9">
        <v>737.94</v>
      </c>
      <c r="F211" s="7" t="s">
        <v>92</v>
      </c>
      <c r="G211" s="7" t="s">
        <v>93</v>
      </c>
      <c r="H211" s="7" t="s">
        <v>94</v>
      </c>
      <c r="I211" s="7" t="s">
        <v>95</v>
      </c>
      <c r="J211" s="7" t="str">
        <f>INDEX(Restaurants!$B$2:$B$23,MATCH(I211,Restaurants!$A$2:$A$23,0))</f>
        <v>Royal Thali Palace</v>
      </c>
      <c r="K211" s="7" t="str">
        <f>INDEX(Restaurants!$D$2:$D$23,MATCH(I211,Restaurants!$A$2:$A$23,0))</f>
        <v>Rajasthani</v>
      </c>
    </row>
    <row r="212" spans="1:11" ht="15" customHeight="1" x14ac:dyDescent="0.3">
      <c r="A212" s="7" t="s">
        <v>336</v>
      </c>
      <c r="B212" s="7" t="s">
        <v>22</v>
      </c>
      <c r="C212" s="8">
        <v>46081</v>
      </c>
      <c r="D212" s="7" t="s">
        <v>16</v>
      </c>
      <c r="E212" s="9">
        <v>533.72</v>
      </c>
      <c r="F212" s="7" t="s">
        <v>41</v>
      </c>
      <c r="G212" s="7" t="s">
        <v>42</v>
      </c>
      <c r="H212" s="7" t="s">
        <v>43</v>
      </c>
      <c r="I212" s="7" t="s">
        <v>26</v>
      </c>
      <c r="J212" s="7" t="str">
        <f>INDEX(Restaurants!$B$2:$B$23,MATCH(I212,Restaurants!$A$2:$A$23,0))</f>
        <v>Nizam's Table</v>
      </c>
      <c r="K212" s="7" t="str">
        <f>INDEX(Restaurants!$D$2:$D$23,MATCH(I212,Restaurants!$A$2:$A$23,0))</f>
        <v>Mughlai</v>
      </c>
    </row>
    <row r="213" spans="1:11" ht="15" customHeight="1" x14ac:dyDescent="0.3">
      <c r="A213" s="7" t="s">
        <v>337</v>
      </c>
      <c r="B213" s="7" t="s">
        <v>15</v>
      </c>
      <c r="C213" s="8">
        <v>46081</v>
      </c>
      <c r="D213" s="7" t="s">
        <v>16</v>
      </c>
      <c r="E213" s="9">
        <v>283.11</v>
      </c>
      <c r="F213" s="7" t="s">
        <v>87</v>
      </c>
      <c r="G213" s="7" t="s">
        <v>88</v>
      </c>
      <c r="H213" s="7" t="s">
        <v>89</v>
      </c>
      <c r="I213" s="7" t="s">
        <v>49</v>
      </c>
      <c r="J213" s="7" t="str">
        <f>INDEX(Restaurants!$B$2:$B$23,MATCH(I213,Restaurants!$A$2:$A$23,0))</f>
        <v>Bombay Bites</v>
      </c>
      <c r="K213" s="7" t="str">
        <f>INDEX(Restaurants!$D$2:$D$23,MATCH(I213,Restaurants!$A$2:$A$23,0))</f>
        <v>Street Food</v>
      </c>
    </row>
    <row r="214" spans="1:11" ht="15" customHeight="1" x14ac:dyDescent="0.3">
      <c r="A214" s="7" t="s">
        <v>338</v>
      </c>
      <c r="B214" s="7" t="s">
        <v>70</v>
      </c>
      <c r="C214" s="8">
        <v>46082</v>
      </c>
      <c r="D214" s="7" t="s">
        <v>16</v>
      </c>
      <c r="E214" s="9">
        <v>713.98</v>
      </c>
      <c r="F214" s="7" t="s">
        <v>71</v>
      </c>
      <c r="G214" s="7" t="s">
        <v>72</v>
      </c>
      <c r="H214" s="7" t="s">
        <v>73</v>
      </c>
      <c r="I214" s="7" t="s">
        <v>114</v>
      </c>
      <c r="J214" s="7" t="str">
        <f>INDEX(Restaurants!$B$2:$B$23,MATCH(I214,Restaurants!$A$2:$A$23,0))</f>
        <v>Marina Meals</v>
      </c>
      <c r="K214" s="7" t="str">
        <f>INDEX(Restaurants!$D$2:$D$23,MATCH(I214,Restaurants!$A$2:$A$23,0))</f>
        <v>South Indian</v>
      </c>
    </row>
    <row r="215" spans="1:11" ht="15" customHeight="1" x14ac:dyDescent="0.3">
      <c r="A215" s="7" t="s">
        <v>339</v>
      </c>
      <c r="B215" s="7" t="s">
        <v>34</v>
      </c>
      <c r="C215" s="8">
        <v>46082</v>
      </c>
      <c r="D215" s="7" t="s">
        <v>35</v>
      </c>
      <c r="E215" s="9">
        <v>762.01</v>
      </c>
      <c r="F215" s="7" t="s">
        <v>105</v>
      </c>
      <c r="G215" s="7" t="s">
        <v>106</v>
      </c>
      <c r="H215" s="7" t="s">
        <v>107</v>
      </c>
      <c r="I215" s="7" t="s">
        <v>103</v>
      </c>
      <c r="J215" s="7" t="str">
        <f>INDEX(Restaurants!$B$2:$B$23,MATCH(I215,Restaurants!$A$2:$A$23,0))</f>
        <v>Namma Bangalore Cafe</v>
      </c>
      <c r="K215" s="7" t="str">
        <f>INDEX(Restaurants!$D$2:$D$23,MATCH(I215,Restaurants!$A$2:$A$23,0))</f>
        <v>South Indian</v>
      </c>
    </row>
    <row r="216" spans="1:11" ht="15" customHeight="1" x14ac:dyDescent="0.3">
      <c r="A216" s="7" t="s">
        <v>340</v>
      </c>
      <c r="B216" s="7" t="s">
        <v>34</v>
      </c>
      <c r="C216" s="8">
        <v>46082</v>
      </c>
      <c r="D216" s="7" t="s">
        <v>16</v>
      </c>
      <c r="E216" s="9">
        <v>475.76</v>
      </c>
      <c r="F216" s="7" t="s">
        <v>100</v>
      </c>
      <c r="G216" s="7" t="s">
        <v>101</v>
      </c>
      <c r="H216" s="7" t="s">
        <v>102</v>
      </c>
      <c r="I216" s="7" t="s">
        <v>39</v>
      </c>
      <c r="J216" s="7" t="str">
        <f>INDEX(Restaurants!$B$2:$B$23,MATCH(I216,Restaurants!$A$2:$A$23,0))</f>
        <v>Silicon Spice</v>
      </c>
      <c r="K216" s="7" t="str">
        <f>INDEX(Restaurants!$D$2:$D$23,MATCH(I216,Restaurants!$A$2:$A$23,0))</f>
        <v>Multi-Cuisine</v>
      </c>
    </row>
    <row r="217" spans="1:11" ht="15" customHeight="1" x14ac:dyDescent="0.3">
      <c r="A217" s="7" t="s">
        <v>341</v>
      </c>
      <c r="B217" s="7" t="s">
        <v>91</v>
      </c>
      <c r="C217" s="8">
        <v>46083</v>
      </c>
      <c r="D217" s="7" t="s">
        <v>64</v>
      </c>
      <c r="E217" s="9">
        <v>1169.72</v>
      </c>
      <c r="F217" s="7" t="s">
        <v>156</v>
      </c>
      <c r="G217" s="7" t="s">
        <v>157</v>
      </c>
      <c r="H217" s="7" t="s">
        <v>158</v>
      </c>
      <c r="I217" s="7" t="s">
        <v>95</v>
      </c>
      <c r="J217" s="7" t="str">
        <f>INDEX(Restaurants!$B$2:$B$23,MATCH(I217,Restaurants!$A$2:$A$23,0))</f>
        <v>Royal Thali Palace</v>
      </c>
      <c r="K217" s="7" t="str">
        <f>INDEX(Restaurants!$D$2:$D$23,MATCH(I217,Restaurants!$A$2:$A$23,0))</f>
        <v>Rajasthani</v>
      </c>
    </row>
    <row r="218" spans="1:11" ht="15" customHeight="1" x14ac:dyDescent="0.3">
      <c r="A218" s="7" t="s">
        <v>342</v>
      </c>
      <c r="B218" s="7" t="s">
        <v>15</v>
      </c>
      <c r="C218" s="8">
        <v>46084</v>
      </c>
      <c r="D218" s="7" t="s">
        <v>16</v>
      </c>
      <c r="E218" s="9">
        <v>755.66</v>
      </c>
      <c r="F218" s="7" t="s">
        <v>17</v>
      </c>
      <c r="G218" s="7" t="s">
        <v>18</v>
      </c>
      <c r="H218" s="7" t="s">
        <v>19</v>
      </c>
      <c r="I218" s="7" t="s">
        <v>49</v>
      </c>
      <c r="J218" s="7" t="str">
        <f>INDEX(Restaurants!$B$2:$B$23,MATCH(I218,Restaurants!$A$2:$A$23,0))</f>
        <v>Bombay Bites</v>
      </c>
      <c r="K218" s="7" t="str">
        <f>INDEX(Restaurants!$D$2:$D$23,MATCH(I218,Restaurants!$A$2:$A$23,0))</f>
        <v>Street Food</v>
      </c>
    </row>
    <row r="219" spans="1:11" ht="15" customHeight="1" x14ac:dyDescent="0.3">
      <c r="A219" s="7" t="s">
        <v>343</v>
      </c>
      <c r="B219" s="7" t="s">
        <v>51</v>
      </c>
      <c r="C219" s="8">
        <v>46084</v>
      </c>
      <c r="D219" s="7" t="s">
        <v>35</v>
      </c>
      <c r="E219" s="9">
        <v>313.60000000000002</v>
      </c>
      <c r="F219" s="7" t="s">
        <v>52</v>
      </c>
      <c r="G219" s="7" t="s">
        <v>53</v>
      </c>
      <c r="H219" s="7" t="s">
        <v>54</v>
      </c>
      <c r="I219" s="7" t="s">
        <v>55</v>
      </c>
      <c r="J219" s="7" t="str">
        <f>INDEX(Restaurants!$B$2:$B$23,MATCH(I219,Restaurants!$A$2:$A$23,0))</f>
        <v>Tunday Kababi Corner</v>
      </c>
      <c r="K219" s="7" t="str">
        <f>INDEX(Restaurants!$D$2:$D$23,MATCH(I219,Restaurants!$A$2:$A$23,0))</f>
        <v>Awadhi</v>
      </c>
    </row>
    <row r="220" spans="1:11" ht="15" customHeight="1" x14ac:dyDescent="0.3">
      <c r="A220" s="7" t="s">
        <v>344</v>
      </c>
      <c r="B220" s="7" t="s">
        <v>28</v>
      </c>
      <c r="C220" s="8">
        <v>46084</v>
      </c>
      <c r="D220" s="7" t="s">
        <v>64</v>
      </c>
      <c r="E220" s="9">
        <v>1125.2</v>
      </c>
      <c r="F220" s="7" t="s">
        <v>29</v>
      </c>
      <c r="G220" s="7" t="s">
        <v>30</v>
      </c>
      <c r="H220" s="7" t="s">
        <v>31</v>
      </c>
      <c r="I220" s="7" t="s">
        <v>171</v>
      </c>
      <c r="J220" s="7" t="str">
        <f>INDEX(Restaurants!$B$2:$B$23,MATCH(I220,Restaurants!$A$2:$A$23,0))</f>
        <v>Manek Chowk Bites</v>
      </c>
      <c r="K220" s="7" t="str">
        <f>INDEX(Restaurants!$D$2:$D$23,MATCH(I220,Restaurants!$A$2:$A$23,0))</f>
        <v>Street Food</v>
      </c>
    </row>
    <row r="221" spans="1:11" ht="15" customHeight="1" x14ac:dyDescent="0.3">
      <c r="A221" s="7" t="s">
        <v>345</v>
      </c>
      <c r="B221" s="7" t="s">
        <v>34</v>
      </c>
      <c r="C221" s="8">
        <v>46084</v>
      </c>
      <c r="D221" s="7" t="s">
        <v>16</v>
      </c>
      <c r="E221" s="9">
        <v>429.34</v>
      </c>
      <c r="F221" s="7" t="s">
        <v>105</v>
      </c>
      <c r="G221" s="7" t="s">
        <v>106</v>
      </c>
      <c r="H221" s="7" t="s">
        <v>107</v>
      </c>
      <c r="I221" s="7" t="s">
        <v>39</v>
      </c>
      <c r="J221" s="7" t="str">
        <f>INDEX(Restaurants!$B$2:$B$23,MATCH(I221,Restaurants!$A$2:$A$23,0))</f>
        <v>Silicon Spice</v>
      </c>
      <c r="K221" s="7" t="str">
        <f>INDEX(Restaurants!$D$2:$D$23,MATCH(I221,Restaurants!$A$2:$A$23,0))</f>
        <v>Multi-Cuisine</v>
      </c>
    </row>
    <row r="222" spans="1:11" ht="15" customHeight="1" x14ac:dyDescent="0.3">
      <c r="A222" s="7" t="s">
        <v>346</v>
      </c>
      <c r="B222" s="7" t="s">
        <v>15</v>
      </c>
      <c r="C222" s="8">
        <v>46084</v>
      </c>
      <c r="D222" s="7" t="s">
        <v>16</v>
      </c>
      <c r="E222" s="9">
        <v>642.04999999999995</v>
      </c>
      <c r="F222" s="7" t="s">
        <v>87</v>
      </c>
      <c r="G222" s="7" t="s">
        <v>88</v>
      </c>
      <c r="H222" s="7" t="s">
        <v>89</v>
      </c>
      <c r="I222" s="7" t="s">
        <v>20</v>
      </c>
      <c r="J222" s="7" t="str">
        <f>INDEX(Restaurants!$B$2:$B$23,MATCH(I222,Restaurants!$A$2:$A$23,0))</f>
        <v>Sea Breeze Grill</v>
      </c>
      <c r="K222" s="7" t="str">
        <f>INDEX(Restaurants!$D$2:$D$23,MATCH(I222,Restaurants!$A$2:$A$23,0))</f>
        <v>Seafood</v>
      </c>
    </row>
    <row r="223" spans="1:11" ht="15" customHeight="1" x14ac:dyDescent="0.3">
      <c r="A223" s="7" t="s">
        <v>347</v>
      </c>
      <c r="B223" s="7" t="s">
        <v>121</v>
      </c>
      <c r="C223" s="8">
        <v>46085</v>
      </c>
      <c r="D223" s="7" t="s">
        <v>16</v>
      </c>
      <c r="E223" s="9">
        <v>955.19</v>
      </c>
      <c r="F223" s="7" t="s">
        <v>173</v>
      </c>
      <c r="G223" s="7" t="s">
        <v>174</v>
      </c>
      <c r="H223" s="7" t="s">
        <v>175</v>
      </c>
      <c r="I223" s="7" t="s">
        <v>125</v>
      </c>
      <c r="J223" s="7" t="str">
        <f>INDEX(Restaurants!$B$2:$B$23,MATCH(I223,Restaurants!$A$2:$A$23,0))</f>
        <v>Karim's Kitchen</v>
      </c>
      <c r="K223" s="7" t="str">
        <f>INDEX(Restaurants!$D$2:$D$23,MATCH(I223,Restaurants!$A$2:$A$23,0))</f>
        <v>Mughlai</v>
      </c>
    </row>
    <row r="224" spans="1:11" ht="15" customHeight="1" x14ac:dyDescent="0.3">
      <c r="A224" s="7" t="s">
        <v>348</v>
      </c>
      <c r="B224" s="7" t="s">
        <v>28</v>
      </c>
      <c r="C224" s="8">
        <v>46085</v>
      </c>
      <c r="D224" s="7" t="s">
        <v>16</v>
      </c>
      <c r="E224" s="9">
        <v>1036.8</v>
      </c>
      <c r="F224" s="7" t="s">
        <v>29</v>
      </c>
      <c r="G224" s="7" t="s">
        <v>30</v>
      </c>
      <c r="H224" s="7" t="s">
        <v>31</v>
      </c>
      <c r="I224" s="7" t="s">
        <v>171</v>
      </c>
      <c r="J224" s="7" t="str">
        <f>INDEX(Restaurants!$B$2:$B$23,MATCH(I224,Restaurants!$A$2:$A$23,0))</f>
        <v>Manek Chowk Bites</v>
      </c>
      <c r="K224" s="7" t="str">
        <f>INDEX(Restaurants!$D$2:$D$23,MATCH(I224,Restaurants!$A$2:$A$23,0))</f>
        <v>Street Food</v>
      </c>
    </row>
    <row r="225" spans="1:11" ht="15" customHeight="1" x14ac:dyDescent="0.3">
      <c r="A225" s="7" t="s">
        <v>349</v>
      </c>
      <c r="B225" s="7" t="s">
        <v>121</v>
      </c>
      <c r="C225" s="8">
        <v>46085</v>
      </c>
      <c r="D225" s="7" t="s">
        <v>16</v>
      </c>
      <c r="E225" s="9">
        <v>505.67</v>
      </c>
      <c r="F225" s="7" t="s">
        <v>143</v>
      </c>
      <c r="G225" s="7" t="s">
        <v>144</v>
      </c>
      <c r="H225" s="7" t="s">
        <v>145</v>
      </c>
      <c r="I225" s="7" t="s">
        <v>125</v>
      </c>
      <c r="J225" s="7" t="str">
        <f>INDEX(Restaurants!$B$2:$B$23,MATCH(I225,Restaurants!$A$2:$A$23,0))</f>
        <v>Karim's Kitchen</v>
      </c>
      <c r="K225" s="7" t="str">
        <f>INDEX(Restaurants!$D$2:$D$23,MATCH(I225,Restaurants!$A$2:$A$23,0))</f>
        <v>Mughlai</v>
      </c>
    </row>
    <row r="226" spans="1:11" ht="15" customHeight="1" x14ac:dyDescent="0.3">
      <c r="A226" s="7" t="s">
        <v>350</v>
      </c>
      <c r="B226" s="7" t="s">
        <v>76</v>
      </c>
      <c r="C226" s="8">
        <v>46085</v>
      </c>
      <c r="D226" s="7" t="s">
        <v>16</v>
      </c>
      <c r="E226" s="9">
        <v>218.89</v>
      </c>
      <c r="F226" s="7" t="s">
        <v>77</v>
      </c>
      <c r="G226" s="7" t="s">
        <v>78</v>
      </c>
      <c r="H226" s="7" t="s">
        <v>79</v>
      </c>
      <c r="I226" s="7" t="s">
        <v>80</v>
      </c>
      <c r="J226" s="7" t="str">
        <f>INDEX(Restaurants!$B$2:$B$23,MATCH(I226,Restaurants!$A$2:$A$23,0))</f>
        <v>Bong Bhoj</v>
      </c>
      <c r="K226" s="7" t="str">
        <f>INDEX(Restaurants!$D$2:$D$23,MATCH(I226,Restaurants!$A$2:$A$23,0))</f>
        <v>Bengali</v>
      </c>
    </row>
    <row r="227" spans="1:11" ht="15" customHeight="1" x14ac:dyDescent="0.3">
      <c r="A227" s="7" t="s">
        <v>351</v>
      </c>
      <c r="B227" s="7" t="s">
        <v>15</v>
      </c>
      <c r="C227" s="8">
        <v>46086</v>
      </c>
      <c r="D227" s="7" t="s">
        <v>16</v>
      </c>
      <c r="E227" s="9">
        <v>222.55</v>
      </c>
      <c r="F227" s="7" t="s">
        <v>17</v>
      </c>
      <c r="G227" s="7" t="s">
        <v>18</v>
      </c>
      <c r="H227" s="7" t="s">
        <v>19</v>
      </c>
      <c r="I227" s="7" t="s">
        <v>49</v>
      </c>
      <c r="J227" s="7" t="str">
        <f>INDEX(Restaurants!$B$2:$B$23,MATCH(I227,Restaurants!$A$2:$A$23,0))</f>
        <v>Bombay Bites</v>
      </c>
      <c r="K227" s="7" t="str">
        <f>INDEX(Restaurants!$D$2:$D$23,MATCH(I227,Restaurants!$A$2:$A$23,0))</f>
        <v>Street Food</v>
      </c>
    </row>
    <row r="228" spans="1:11" ht="15" customHeight="1" x14ac:dyDescent="0.3">
      <c r="A228" s="7" t="s">
        <v>352</v>
      </c>
      <c r="B228" s="7" t="s">
        <v>121</v>
      </c>
      <c r="C228" s="8">
        <v>46086</v>
      </c>
      <c r="D228" s="7" t="s">
        <v>16</v>
      </c>
      <c r="E228" s="9">
        <v>489.81</v>
      </c>
      <c r="F228" s="7" t="s">
        <v>143</v>
      </c>
      <c r="G228" s="7" t="s">
        <v>144</v>
      </c>
      <c r="H228" s="7" t="s">
        <v>145</v>
      </c>
      <c r="I228" s="7" t="s">
        <v>146</v>
      </c>
      <c r="J228" s="7" t="str">
        <f>INDEX(Restaurants!$B$2:$B$23,MATCH(I228,Restaurants!$A$2:$A$23,0))</f>
        <v>Delhi Darbar</v>
      </c>
      <c r="K228" s="7" t="str">
        <f>INDEX(Restaurants!$D$2:$D$23,MATCH(I228,Restaurants!$A$2:$A$23,0))</f>
        <v>North Indian</v>
      </c>
    </row>
    <row r="229" spans="1:11" ht="15" customHeight="1" x14ac:dyDescent="0.3">
      <c r="A229" s="7" t="s">
        <v>353</v>
      </c>
      <c r="B229" s="7" t="s">
        <v>121</v>
      </c>
      <c r="C229" s="8">
        <v>46087</v>
      </c>
      <c r="D229" s="7" t="s">
        <v>16</v>
      </c>
      <c r="E229" s="9">
        <v>984.99</v>
      </c>
      <c r="F229" s="7" t="s">
        <v>122</v>
      </c>
      <c r="G229" s="7" t="s">
        <v>123</v>
      </c>
      <c r="H229" s="7" t="s">
        <v>124</v>
      </c>
      <c r="I229" s="7" t="s">
        <v>146</v>
      </c>
      <c r="J229" s="7" t="str">
        <f>INDEX(Restaurants!$B$2:$B$23,MATCH(I229,Restaurants!$A$2:$A$23,0))</f>
        <v>Delhi Darbar</v>
      </c>
      <c r="K229" s="7" t="str">
        <f>INDEX(Restaurants!$D$2:$D$23,MATCH(I229,Restaurants!$A$2:$A$23,0))</f>
        <v>North Indian</v>
      </c>
    </row>
    <row r="230" spans="1:11" ht="15" customHeight="1" x14ac:dyDescent="0.3">
      <c r="A230" s="7" t="s">
        <v>354</v>
      </c>
      <c r="B230" s="7" t="s">
        <v>51</v>
      </c>
      <c r="C230" s="8">
        <v>46089</v>
      </c>
      <c r="D230" s="7" t="s">
        <v>16</v>
      </c>
      <c r="E230" s="9">
        <v>886.54</v>
      </c>
      <c r="F230" s="7" t="s">
        <v>52</v>
      </c>
      <c r="G230" s="7" t="s">
        <v>53</v>
      </c>
      <c r="H230" s="7" t="s">
        <v>54</v>
      </c>
      <c r="I230" s="7" t="s">
        <v>137</v>
      </c>
      <c r="J230" s="7" t="str">
        <f>INDEX(Restaurants!$B$2:$B$23,MATCH(I230,Restaurants!$A$2:$A$23,0))</f>
        <v>Nawabi Nights</v>
      </c>
      <c r="K230" s="7" t="str">
        <f>INDEX(Restaurants!$D$2:$D$23,MATCH(I230,Restaurants!$A$2:$A$23,0))</f>
        <v>Mughlai</v>
      </c>
    </row>
    <row r="231" spans="1:11" ht="15" customHeight="1" x14ac:dyDescent="0.3">
      <c r="A231" s="7" t="s">
        <v>355</v>
      </c>
      <c r="B231" s="7" t="s">
        <v>28</v>
      </c>
      <c r="C231" s="8">
        <v>46089</v>
      </c>
      <c r="D231" s="7" t="s">
        <v>16</v>
      </c>
      <c r="E231" s="9">
        <v>1120.3599999999999</v>
      </c>
      <c r="F231" s="7" t="s">
        <v>168</v>
      </c>
      <c r="G231" s="7" t="s">
        <v>169</v>
      </c>
      <c r="H231" s="7" t="s">
        <v>170</v>
      </c>
      <c r="I231" s="7" t="s">
        <v>32</v>
      </c>
      <c r="J231" s="7" t="str">
        <f>INDEX(Restaurants!$B$2:$B$23,MATCH(I231,Restaurants!$A$2:$A$23,0))</f>
        <v>Gujarat Thali Home</v>
      </c>
      <c r="K231" s="7" t="str">
        <f>INDEX(Restaurants!$D$2:$D$23,MATCH(I231,Restaurants!$A$2:$A$23,0))</f>
        <v>Gujarati</v>
      </c>
    </row>
    <row r="232" spans="1:11" ht="15" customHeight="1" x14ac:dyDescent="0.3">
      <c r="A232" s="7" t="s">
        <v>356</v>
      </c>
      <c r="B232" s="7" t="s">
        <v>121</v>
      </c>
      <c r="C232" s="8">
        <v>46089</v>
      </c>
      <c r="D232" s="7" t="s">
        <v>16</v>
      </c>
      <c r="E232" s="9">
        <v>603.69000000000005</v>
      </c>
      <c r="F232" s="7" t="s">
        <v>143</v>
      </c>
      <c r="G232" s="7" t="s">
        <v>144</v>
      </c>
      <c r="H232" s="7" t="s">
        <v>145</v>
      </c>
      <c r="I232" s="7" t="s">
        <v>146</v>
      </c>
      <c r="J232" s="7" t="str">
        <f>INDEX(Restaurants!$B$2:$B$23,MATCH(I232,Restaurants!$A$2:$A$23,0))</f>
        <v>Delhi Darbar</v>
      </c>
      <c r="K232" s="7" t="str">
        <f>INDEX(Restaurants!$D$2:$D$23,MATCH(I232,Restaurants!$A$2:$A$23,0))</f>
        <v>North Indian</v>
      </c>
    </row>
    <row r="233" spans="1:11" ht="15" customHeight="1" x14ac:dyDescent="0.3">
      <c r="A233" s="7" t="s">
        <v>357</v>
      </c>
      <c r="B233" s="7" t="s">
        <v>63</v>
      </c>
      <c r="C233" s="8">
        <v>46089</v>
      </c>
      <c r="D233" s="7" t="s">
        <v>45</v>
      </c>
      <c r="E233" s="9">
        <v>741.05</v>
      </c>
      <c r="F233" s="7" t="s">
        <v>82</v>
      </c>
      <c r="G233" s="7" t="s">
        <v>83</v>
      </c>
      <c r="H233" s="7" t="s">
        <v>84</v>
      </c>
      <c r="I233" s="7" t="s">
        <v>85</v>
      </c>
      <c r="J233" s="7" t="str">
        <f>INDEX(Restaurants!$B$2:$B$23,MATCH(I233,Restaurants!$A$2:$A$23,0))</f>
        <v>Deccan Diner</v>
      </c>
      <c r="K233" s="7" t="str">
        <f>INDEX(Restaurants!$D$2:$D$23,MATCH(I233,Restaurants!$A$2:$A$23,0))</f>
        <v>Continental</v>
      </c>
    </row>
    <row r="234" spans="1:11" ht="15" customHeight="1" x14ac:dyDescent="0.3">
      <c r="A234" s="7" t="s">
        <v>358</v>
      </c>
      <c r="B234" s="7" t="s">
        <v>121</v>
      </c>
      <c r="C234" s="8">
        <v>46089</v>
      </c>
      <c r="D234" s="7" t="s">
        <v>16</v>
      </c>
      <c r="E234" s="9">
        <v>770.04</v>
      </c>
      <c r="F234" s="7" t="s">
        <v>173</v>
      </c>
      <c r="G234" s="7" t="s">
        <v>174</v>
      </c>
      <c r="H234" s="7" t="s">
        <v>175</v>
      </c>
      <c r="I234" s="7" t="s">
        <v>125</v>
      </c>
      <c r="J234" s="7" t="str">
        <f>INDEX(Restaurants!$B$2:$B$23,MATCH(I234,Restaurants!$A$2:$A$23,0))</f>
        <v>Karim's Kitchen</v>
      </c>
      <c r="K234" s="7" t="str">
        <f>INDEX(Restaurants!$D$2:$D$23,MATCH(I234,Restaurants!$A$2:$A$23,0))</f>
        <v>Mughlai</v>
      </c>
    </row>
    <row r="235" spans="1:11" ht="15" customHeight="1" x14ac:dyDescent="0.3">
      <c r="A235" s="7" t="s">
        <v>359</v>
      </c>
      <c r="B235" s="7" t="s">
        <v>121</v>
      </c>
      <c r="C235" s="8">
        <v>46090</v>
      </c>
      <c r="D235" s="7" t="s">
        <v>16</v>
      </c>
      <c r="E235" s="9">
        <v>971.56</v>
      </c>
      <c r="F235" s="7" t="s">
        <v>122</v>
      </c>
      <c r="G235" s="7" t="s">
        <v>123</v>
      </c>
      <c r="H235" s="7" t="s">
        <v>124</v>
      </c>
      <c r="I235" s="7" t="s">
        <v>146</v>
      </c>
      <c r="J235" s="7" t="str">
        <f>INDEX(Restaurants!$B$2:$B$23,MATCH(I235,Restaurants!$A$2:$A$23,0))</f>
        <v>Delhi Darbar</v>
      </c>
      <c r="K235" s="7" t="str">
        <f>INDEX(Restaurants!$D$2:$D$23,MATCH(I235,Restaurants!$A$2:$A$23,0))</f>
        <v>North Indian</v>
      </c>
    </row>
    <row r="236" spans="1:11" ht="15" customHeight="1" x14ac:dyDescent="0.3">
      <c r="A236" s="7" t="s">
        <v>360</v>
      </c>
      <c r="B236" s="7" t="s">
        <v>70</v>
      </c>
      <c r="C236" s="8">
        <v>46091</v>
      </c>
      <c r="D236" s="7" t="s">
        <v>16</v>
      </c>
      <c r="E236" s="9">
        <v>251.72</v>
      </c>
      <c r="F236" s="7" t="s">
        <v>111</v>
      </c>
      <c r="G236" s="7" t="s">
        <v>112</v>
      </c>
      <c r="H236" s="7" t="s">
        <v>113</v>
      </c>
      <c r="I236" s="7" t="s">
        <v>74</v>
      </c>
      <c r="J236" s="7" t="str">
        <f>INDEX(Restaurants!$B$2:$B$23,MATCH(I236,Restaurants!$A$2:$A$23,0))</f>
        <v>Chettinad Corner</v>
      </c>
      <c r="K236" s="7" t="str">
        <f>INDEX(Restaurants!$D$2:$D$23,MATCH(I236,Restaurants!$A$2:$A$23,0))</f>
        <v>Chettinad</v>
      </c>
    </row>
    <row r="237" spans="1:11" ht="15" customHeight="1" x14ac:dyDescent="0.3">
      <c r="A237" s="7" t="s">
        <v>361</v>
      </c>
      <c r="B237" s="7" t="s">
        <v>70</v>
      </c>
      <c r="C237" s="8">
        <v>46091</v>
      </c>
      <c r="D237" s="7" t="s">
        <v>16</v>
      </c>
      <c r="E237" s="9">
        <v>1002.2</v>
      </c>
      <c r="F237" s="7" t="s">
        <v>71</v>
      </c>
      <c r="G237" s="7" t="s">
        <v>72</v>
      </c>
      <c r="H237" s="7" t="s">
        <v>73</v>
      </c>
      <c r="I237" s="7" t="s">
        <v>114</v>
      </c>
      <c r="J237" s="7" t="str">
        <f>INDEX(Restaurants!$B$2:$B$23,MATCH(I237,Restaurants!$A$2:$A$23,0))</f>
        <v>Marina Meals</v>
      </c>
      <c r="K237" s="7" t="str">
        <f>INDEX(Restaurants!$D$2:$D$23,MATCH(I237,Restaurants!$A$2:$A$23,0))</f>
        <v>South Indian</v>
      </c>
    </row>
    <row r="238" spans="1:11" ht="15" customHeight="1" x14ac:dyDescent="0.3">
      <c r="A238" s="7" t="s">
        <v>362</v>
      </c>
      <c r="B238" s="7" t="s">
        <v>57</v>
      </c>
      <c r="C238" s="8">
        <v>46091</v>
      </c>
      <c r="D238" s="7" t="s">
        <v>16</v>
      </c>
      <c r="E238" s="9">
        <v>1179.9100000000001</v>
      </c>
      <c r="F238" s="7" t="s">
        <v>58</v>
      </c>
      <c r="G238" s="7" t="s">
        <v>59</v>
      </c>
      <c r="H238" s="7" t="s">
        <v>60</v>
      </c>
      <c r="I238" s="7" t="s">
        <v>154</v>
      </c>
      <c r="J238" s="7" t="str">
        <f>INDEX(Restaurants!$B$2:$B$23,MATCH(I238,Restaurants!$A$2:$A$23,0))</f>
        <v>Kerala Backwater Kitchen</v>
      </c>
      <c r="K238" s="7" t="str">
        <f>INDEX(Restaurants!$D$2:$D$23,MATCH(I238,Restaurants!$A$2:$A$23,0))</f>
        <v>Kerala</v>
      </c>
    </row>
    <row r="239" spans="1:11" ht="15" customHeight="1" x14ac:dyDescent="0.3">
      <c r="A239" s="7" t="s">
        <v>363</v>
      </c>
      <c r="B239" s="7" t="s">
        <v>121</v>
      </c>
      <c r="C239" s="8">
        <v>46091</v>
      </c>
      <c r="D239" s="7" t="s">
        <v>35</v>
      </c>
      <c r="E239" s="9">
        <v>798.26</v>
      </c>
      <c r="F239" s="7" t="s">
        <v>122</v>
      </c>
      <c r="G239" s="7" t="s">
        <v>123</v>
      </c>
      <c r="H239" s="7" t="s">
        <v>124</v>
      </c>
      <c r="I239" s="7" t="s">
        <v>125</v>
      </c>
      <c r="J239" s="7" t="str">
        <f>INDEX(Restaurants!$B$2:$B$23,MATCH(I239,Restaurants!$A$2:$A$23,0))</f>
        <v>Karim's Kitchen</v>
      </c>
      <c r="K239" s="7" t="str">
        <f>INDEX(Restaurants!$D$2:$D$23,MATCH(I239,Restaurants!$A$2:$A$23,0))</f>
        <v>Mughlai</v>
      </c>
    </row>
    <row r="240" spans="1:11" ht="15" customHeight="1" x14ac:dyDescent="0.3">
      <c r="A240" s="7" t="s">
        <v>364</v>
      </c>
      <c r="B240" s="7" t="s">
        <v>51</v>
      </c>
      <c r="C240" s="8">
        <v>46091</v>
      </c>
      <c r="D240" s="7" t="s">
        <v>16</v>
      </c>
      <c r="E240" s="9">
        <v>835.62</v>
      </c>
      <c r="F240" s="7" t="s">
        <v>52</v>
      </c>
      <c r="G240" s="7" t="s">
        <v>53</v>
      </c>
      <c r="H240" s="7" t="s">
        <v>54</v>
      </c>
      <c r="I240" s="7" t="s">
        <v>55</v>
      </c>
      <c r="J240" s="7" t="str">
        <f>INDEX(Restaurants!$B$2:$B$23,MATCH(I240,Restaurants!$A$2:$A$23,0))</f>
        <v>Tunday Kababi Corner</v>
      </c>
      <c r="K240" s="7" t="str">
        <f>INDEX(Restaurants!$D$2:$D$23,MATCH(I240,Restaurants!$A$2:$A$23,0))</f>
        <v>Awadhi</v>
      </c>
    </row>
    <row r="241" spans="1:11" ht="15" customHeight="1" x14ac:dyDescent="0.3">
      <c r="A241" s="7" t="s">
        <v>365</v>
      </c>
      <c r="B241" s="7" t="s">
        <v>34</v>
      </c>
      <c r="C241" s="8">
        <v>46091</v>
      </c>
      <c r="D241" s="7" t="s">
        <v>16</v>
      </c>
      <c r="E241" s="9">
        <v>1094.4100000000001</v>
      </c>
      <c r="F241" s="7" t="s">
        <v>36</v>
      </c>
      <c r="G241" s="7" t="s">
        <v>37</v>
      </c>
      <c r="H241" s="7" t="s">
        <v>38</v>
      </c>
      <c r="I241" s="7" t="s">
        <v>39</v>
      </c>
      <c r="J241" s="7" t="str">
        <f>INDEX(Restaurants!$B$2:$B$23,MATCH(I241,Restaurants!$A$2:$A$23,0))</f>
        <v>Silicon Spice</v>
      </c>
      <c r="K241" s="7" t="str">
        <f>INDEX(Restaurants!$D$2:$D$23,MATCH(I241,Restaurants!$A$2:$A$23,0))</f>
        <v>Multi-Cuisine</v>
      </c>
    </row>
    <row r="242" spans="1:11" ht="15" customHeight="1" x14ac:dyDescent="0.3">
      <c r="A242" s="7" t="s">
        <v>366</v>
      </c>
      <c r="B242" s="7" t="s">
        <v>34</v>
      </c>
      <c r="C242" s="8">
        <v>46091</v>
      </c>
      <c r="D242" s="7" t="s">
        <v>16</v>
      </c>
      <c r="E242" s="9">
        <v>1103.1600000000001</v>
      </c>
      <c r="F242" s="7" t="s">
        <v>36</v>
      </c>
      <c r="G242" s="7" t="s">
        <v>37</v>
      </c>
      <c r="H242" s="7" t="s">
        <v>38</v>
      </c>
      <c r="I242" s="7" t="s">
        <v>39</v>
      </c>
      <c r="J242" s="7" t="str">
        <f>INDEX(Restaurants!$B$2:$B$23,MATCH(I242,Restaurants!$A$2:$A$23,0))</f>
        <v>Silicon Spice</v>
      </c>
      <c r="K242" s="7" t="str">
        <f>INDEX(Restaurants!$D$2:$D$23,MATCH(I242,Restaurants!$A$2:$A$23,0))</f>
        <v>Multi-Cuisine</v>
      </c>
    </row>
    <row r="243" spans="1:11" ht="15" customHeight="1" x14ac:dyDescent="0.3">
      <c r="A243" s="7" t="s">
        <v>367</v>
      </c>
      <c r="B243" s="7" t="s">
        <v>63</v>
      </c>
      <c r="C243" s="8">
        <v>46092</v>
      </c>
      <c r="D243" s="7" t="s">
        <v>16</v>
      </c>
      <c r="E243" s="9">
        <v>1037.24</v>
      </c>
      <c r="F243" s="7" t="s">
        <v>82</v>
      </c>
      <c r="G243" s="7" t="s">
        <v>83</v>
      </c>
      <c r="H243" s="7" t="s">
        <v>84</v>
      </c>
      <c r="I243" s="7" t="s">
        <v>85</v>
      </c>
      <c r="J243" s="7" t="str">
        <f>INDEX(Restaurants!$B$2:$B$23,MATCH(I243,Restaurants!$A$2:$A$23,0))</f>
        <v>Deccan Diner</v>
      </c>
      <c r="K243" s="7" t="str">
        <f>INDEX(Restaurants!$D$2:$D$23,MATCH(I243,Restaurants!$A$2:$A$23,0))</f>
        <v>Continental</v>
      </c>
    </row>
    <row r="244" spans="1:11" ht="15" customHeight="1" x14ac:dyDescent="0.3">
      <c r="A244" s="7" t="s">
        <v>368</v>
      </c>
      <c r="B244" s="7" t="s">
        <v>15</v>
      </c>
      <c r="C244" s="8">
        <v>46092</v>
      </c>
      <c r="D244" s="7" t="s">
        <v>16</v>
      </c>
      <c r="E244" s="9">
        <v>419.63</v>
      </c>
      <c r="F244" s="7" t="s">
        <v>17</v>
      </c>
      <c r="G244" s="7" t="s">
        <v>18</v>
      </c>
      <c r="H244" s="7" t="s">
        <v>19</v>
      </c>
      <c r="I244" s="7" t="s">
        <v>20</v>
      </c>
      <c r="J244" s="7" t="str">
        <f>INDEX(Restaurants!$B$2:$B$23,MATCH(I244,Restaurants!$A$2:$A$23,0))</f>
        <v>Sea Breeze Grill</v>
      </c>
      <c r="K244" s="7" t="str">
        <f>INDEX(Restaurants!$D$2:$D$23,MATCH(I244,Restaurants!$A$2:$A$23,0))</f>
        <v>Seafood</v>
      </c>
    </row>
    <row r="245" spans="1:11" ht="15" customHeight="1" x14ac:dyDescent="0.3">
      <c r="A245" s="7" t="s">
        <v>369</v>
      </c>
      <c r="B245" s="7" t="s">
        <v>15</v>
      </c>
      <c r="C245" s="8">
        <v>46092</v>
      </c>
      <c r="D245" s="7" t="s">
        <v>64</v>
      </c>
      <c r="E245" s="9">
        <v>807.02</v>
      </c>
      <c r="F245" s="7" t="s">
        <v>87</v>
      </c>
      <c r="G245" s="7" t="s">
        <v>88</v>
      </c>
      <c r="H245" s="7" t="s">
        <v>89</v>
      </c>
      <c r="I245" s="7" t="s">
        <v>49</v>
      </c>
      <c r="J245" s="7" t="str">
        <f>INDEX(Restaurants!$B$2:$B$23,MATCH(I245,Restaurants!$A$2:$A$23,0))</f>
        <v>Bombay Bites</v>
      </c>
      <c r="K245" s="7" t="str">
        <f>INDEX(Restaurants!$D$2:$D$23,MATCH(I245,Restaurants!$A$2:$A$23,0))</f>
        <v>Street Food</v>
      </c>
    </row>
    <row r="246" spans="1:11" ht="15" customHeight="1" x14ac:dyDescent="0.3">
      <c r="A246" s="7" t="s">
        <v>370</v>
      </c>
      <c r="B246" s="7" t="s">
        <v>15</v>
      </c>
      <c r="C246" s="8">
        <v>46092</v>
      </c>
      <c r="D246" s="7" t="s">
        <v>45</v>
      </c>
      <c r="E246" s="9">
        <v>341.8</v>
      </c>
      <c r="F246" s="7" t="s">
        <v>46</v>
      </c>
      <c r="G246" s="7" t="s">
        <v>47</v>
      </c>
      <c r="H246" s="7" t="s">
        <v>48</v>
      </c>
      <c r="I246" s="7" t="s">
        <v>20</v>
      </c>
      <c r="J246" s="7" t="str">
        <f>INDEX(Restaurants!$B$2:$B$23,MATCH(I246,Restaurants!$A$2:$A$23,0))</f>
        <v>Sea Breeze Grill</v>
      </c>
      <c r="K246" s="7" t="str">
        <f>INDEX(Restaurants!$D$2:$D$23,MATCH(I246,Restaurants!$A$2:$A$23,0))</f>
        <v>Seafood</v>
      </c>
    </row>
    <row r="247" spans="1:11" ht="15" customHeight="1" x14ac:dyDescent="0.3">
      <c r="A247" s="7" t="s">
        <v>371</v>
      </c>
      <c r="B247" s="7" t="s">
        <v>22</v>
      </c>
      <c r="C247" s="8">
        <v>46093</v>
      </c>
      <c r="D247" s="7" t="s">
        <v>16</v>
      </c>
      <c r="E247" s="9">
        <v>1142.8</v>
      </c>
      <c r="F247" s="7" t="s">
        <v>41</v>
      </c>
      <c r="G247" s="7" t="s">
        <v>42</v>
      </c>
      <c r="H247" s="7" t="s">
        <v>43</v>
      </c>
      <c r="I247" s="7" t="s">
        <v>26</v>
      </c>
      <c r="J247" s="7" t="str">
        <f>INDEX(Restaurants!$B$2:$B$23,MATCH(I247,Restaurants!$A$2:$A$23,0))</f>
        <v>Nizam's Table</v>
      </c>
      <c r="K247" s="7" t="str">
        <f>INDEX(Restaurants!$D$2:$D$23,MATCH(I247,Restaurants!$A$2:$A$23,0))</f>
        <v>Mughlai</v>
      </c>
    </row>
    <row r="248" spans="1:11" ht="15" customHeight="1" x14ac:dyDescent="0.3">
      <c r="A248" s="7" t="s">
        <v>372</v>
      </c>
      <c r="B248" s="7" t="s">
        <v>70</v>
      </c>
      <c r="C248" s="8">
        <v>46094</v>
      </c>
      <c r="D248" s="7" t="s">
        <v>16</v>
      </c>
      <c r="E248" s="9">
        <v>263.89</v>
      </c>
      <c r="F248" s="7" t="s">
        <v>111</v>
      </c>
      <c r="G248" s="7" t="s">
        <v>112</v>
      </c>
      <c r="H248" s="7" t="s">
        <v>113</v>
      </c>
      <c r="I248" s="7" t="s">
        <v>114</v>
      </c>
      <c r="J248" s="7" t="str">
        <f>INDEX(Restaurants!$B$2:$B$23,MATCH(I248,Restaurants!$A$2:$A$23,0))</f>
        <v>Marina Meals</v>
      </c>
      <c r="K248" s="7" t="str">
        <f>INDEX(Restaurants!$D$2:$D$23,MATCH(I248,Restaurants!$A$2:$A$23,0))</f>
        <v>South Indian</v>
      </c>
    </row>
    <row r="249" spans="1:11" ht="15" customHeight="1" x14ac:dyDescent="0.3">
      <c r="A249" s="7" t="s">
        <v>373</v>
      </c>
      <c r="B249" s="7" t="s">
        <v>15</v>
      </c>
      <c r="C249" s="8">
        <v>46094</v>
      </c>
      <c r="D249" s="7" t="s">
        <v>16</v>
      </c>
      <c r="E249" s="9">
        <v>873.27</v>
      </c>
      <c r="F249" s="7" t="s">
        <v>17</v>
      </c>
      <c r="G249" s="7" t="s">
        <v>18</v>
      </c>
      <c r="H249" s="7" t="s">
        <v>19</v>
      </c>
      <c r="I249" s="7" t="s">
        <v>49</v>
      </c>
      <c r="J249" s="7" t="str">
        <f>INDEX(Restaurants!$B$2:$B$23,MATCH(I249,Restaurants!$A$2:$A$23,0))</f>
        <v>Bombay Bites</v>
      </c>
      <c r="K249" s="7" t="str">
        <f>INDEX(Restaurants!$D$2:$D$23,MATCH(I249,Restaurants!$A$2:$A$23,0))</f>
        <v>Street Food</v>
      </c>
    </row>
    <row r="250" spans="1:11" ht="15" customHeight="1" x14ac:dyDescent="0.3">
      <c r="A250" s="7" t="s">
        <v>374</v>
      </c>
      <c r="B250" s="7" t="s">
        <v>51</v>
      </c>
      <c r="C250" s="8">
        <v>46095</v>
      </c>
      <c r="D250" s="7" t="s">
        <v>16</v>
      </c>
      <c r="E250" s="9">
        <v>890.12</v>
      </c>
      <c r="F250" s="7" t="s">
        <v>134</v>
      </c>
      <c r="G250" s="7" t="s">
        <v>135</v>
      </c>
      <c r="H250" s="7" t="s">
        <v>136</v>
      </c>
      <c r="I250" s="7" t="s">
        <v>137</v>
      </c>
      <c r="J250" s="7" t="str">
        <f>INDEX(Restaurants!$B$2:$B$23,MATCH(I250,Restaurants!$A$2:$A$23,0))</f>
        <v>Nawabi Nights</v>
      </c>
      <c r="K250" s="7" t="str">
        <f>INDEX(Restaurants!$D$2:$D$23,MATCH(I250,Restaurants!$A$2:$A$23,0))</f>
        <v>Mughlai</v>
      </c>
    </row>
    <row r="251" spans="1:11" ht="15" customHeight="1" x14ac:dyDescent="0.3">
      <c r="A251" s="7" t="s">
        <v>375</v>
      </c>
      <c r="B251" s="7" t="s">
        <v>121</v>
      </c>
      <c r="C251" s="8">
        <v>46095</v>
      </c>
      <c r="D251" s="7" t="s">
        <v>64</v>
      </c>
      <c r="E251" s="9">
        <v>270.81</v>
      </c>
      <c r="F251" s="7" t="s">
        <v>173</v>
      </c>
      <c r="G251" s="7" t="s">
        <v>174</v>
      </c>
      <c r="H251" s="7" t="s">
        <v>175</v>
      </c>
      <c r="I251" s="7" t="s">
        <v>146</v>
      </c>
      <c r="J251" s="7" t="str">
        <f>INDEX(Restaurants!$B$2:$B$23,MATCH(I251,Restaurants!$A$2:$A$23,0))</f>
        <v>Delhi Darbar</v>
      </c>
      <c r="K251" s="7" t="str">
        <f>INDEX(Restaurants!$D$2:$D$23,MATCH(I251,Restaurants!$A$2:$A$23,0))</f>
        <v>North Indian</v>
      </c>
    </row>
    <row r="252" spans="1:11" ht="15" customHeight="1" x14ac:dyDescent="0.3">
      <c r="A252" s="7" t="s">
        <v>376</v>
      </c>
      <c r="B252" s="7" t="s">
        <v>91</v>
      </c>
      <c r="C252" s="8">
        <v>46095</v>
      </c>
      <c r="D252" s="7" t="s">
        <v>16</v>
      </c>
      <c r="E252" s="9">
        <v>642.98</v>
      </c>
      <c r="F252" s="7" t="s">
        <v>92</v>
      </c>
      <c r="G252" s="7" t="s">
        <v>93</v>
      </c>
      <c r="H252" s="7" t="s">
        <v>94</v>
      </c>
      <c r="I252" s="7" t="s">
        <v>130</v>
      </c>
      <c r="J252" s="7" t="str">
        <f>INDEX(Restaurants!$B$2:$B$23,MATCH(I252,Restaurants!$A$2:$A$23,0))</f>
        <v>Pink City Rasoi</v>
      </c>
      <c r="K252" s="7" t="str">
        <f>INDEX(Restaurants!$D$2:$D$23,MATCH(I252,Restaurants!$A$2:$A$23,0))</f>
        <v>Rajasthani</v>
      </c>
    </row>
    <row r="253" spans="1:11" ht="15" customHeight="1" x14ac:dyDescent="0.3">
      <c r="A253" s="7" t="s">
        <v>377</v>
      </c>
      <c r="B253" s="7" t="s">
        <v>28</v>
      </c>
      <c r="C253" s="8">
        <v>46096</v>
      </c>
      <c r="D253" s="7" t="s">
        <v>16</v>
      </c>
      <c r="E253" s="9">
        <v>1107.97</v>
      </c>
      <c r="F253" s="7" t="s">
        <v>168</v>
      </c>
      <c r="G253" s="7" t="s">
        <v>169</v>
      </c>
      <c r="H253" s="7" t="s">
        <v>170</v>
      </c>
      <c r="I253" s="7" t="s">
        <v>32</v>
      </c>
      <c r="J253" s="7" t="str">
        <f>INDEX(Restaurants!$B$2:$B$23,MATCH(I253,Restaurants!$A$2:$A$23,0))</f>
        <v>Gujarat Thali Home</v>
      </c>
      <c r="K253" s="7" t="str">
        <f>INDEX(Restaurants!$D$2:$D$23,MATCH(I253,Restaurants!$A$2:$A$23,0))</f>
        <v>Gujarati</v>
      </c>
    </row>
    <row r="254" spans="1:11" ht="15" customHeight="1" x14ac:dyDescent="0.3">
      <c r="A254" s="7" t="s">
        <v>378</v>
      </c>
      <c r="B254" s="7" t="s">
        <v>34</v>
      </c>
      <c r="C254" s="8">
        <v>46096</v>
      </c>
      <c r="D254" s="7" t="s">
        <v>16</v>
      </c>
      <c r="E254" s="9">
        <v>577.30999999999995</v>
      </c>
      <c r="F254" s="7" t="s">
        <v>36</v>
      </c>
      <c r="G254" s="7" t="s">
        <v>37</v>
      </c>
      <c r="H254" s="7" t="s">
        <v>38</v>
      </c>
      <c r="I254" s="7" t="s">
        <v>103</v>
      </c>
      <c r="J254" s="7" t="str">
        <f>INDEX(Restaurants!$B$2:$B$23,MATCH(I254,Restaurants!$A$2:$A$23,0))</f>
        <v>Namma Bangalore Cafe</v>
      </c>
      <c r="K254" s="7" t="str">
        <f>INDEX(Restaurants!$D$2:$D$23,MATCH(I254,Restaurants!$A$2:$A$23,0))</f>
        <v>South Indian</v>
      </c>
    </row>
    <row r="255" spans="1:11" ht="15" customHeight="1" x14ac:dyDescent="0.3">
      <c r="A255" s="7" t="s">
        <v>379</v>
      </c>
      <c r="B255" s="7" t="s">
        <v>121</v>
      </c>
      <c r="C255" s="8">
        <v>46096</v>
      </c>
      <c r="D255" s="7" t="s">
        <v>35</v>
      </c>
      <c r="E255" s="9">
        <v>247.37</v>
      </c>
      <c r="F255" s="7" t="s">
        <v>173</v>
      </c>
      <c r="G255" s="7" t="s">
        <v>174</v>
      </c>
      <c r="H255" s="7" t="s">
        <v>175</v>
      </c>
      <c r="I255" s="7" t="s">
        <v>146</v>
      </c>
      <c r="J255" s="7" t="str">
        <f>INDEX(Restaurants!$B$2:$B$23,MATCH(I255,Restaurants!$A$2:$A$23,0))</f>
        <v>Delhi Darbar</v>
      </c>
      <c r="K255" s="7" t="str">
        <f>INDEX(Restaurants!$D$2:$D$23,MATCH(I255,Restaurants!$A$2:$A$23,0))</f>
        <v>North Indian</v>
      </c>
    </row>
    <row r="256" spans="1:11" ht="15" customHeight="1" x14ac:dyDescent="0.3">
      <c r="A256" s="7" t="s">
        <v>380</v>
      </c>
      <c r="B256" s="7" t="s">
        <v>34</v>
      </c>
      <c r="C256" s="8">
        <v>46096</v>
      </c>
      <c r="D256" s="7" t="s">
        <v>16</v>
      </c>
      <c r="E256" s="9">
        <v>827.66</v>
      </c>
      <c r="F256" s="7" t="s">
        <v>36</v>
      </c>
      <c r="G256" s="7" t="s">
        <v>37</v>
      </c>
      <c r="H256" s="7" t="s">
        <v>38</v>
      </c>
      <c r="I256" s="7" t="s">
        <v>103</v>
      </c>
      <c r="J256" s="7" t="str">
        <f>INDEX(Restaurants!$B$2:$B$23,MATCH(I256,Restaurants!$A$2:$A$23,0))</f>
        <v>Namma Bangalore Cafe</v>
      </c>
      <c r="K256" s="7" t="str">
        <f>INDEX(Restaurants!$D$2:$D$23,MATCH(I256,Restaurants!$A$2:$A$23,0))</f>
        <v>South Indian</v>
      </c>
    </row>
    <row r="257" spans="1:11" ht="15" customHeight="1" x14ac:dyDescent="0.3">
      <c r="A257" s="7" t="s">
        <v>381</v>
      </c>
      <c r="B257" s="7" t="s">
        <v>51</v>
      </c>
      <c r="C257" s="8">
        <v>46096</v>
      </c>
      <c r="D257" s="7" t="s">
        <v>16</v>
      </c>
      <c r="E257" s="9">
        <v>585.73</v>
      </c>
      <c r="F257" s="7" t="s">
        <v>134</v>
      </c>
      <c r="G257" s="7" t="s">
        <v>135</v>
      </c>
      <c r="H257" s="7" t="s">
        <v>136</v>
      </c>
      <c r="I257" s="7" t="s">
        <v>55</v>
      </c>
      <c r="J257" s="7" t="str">
        <f>INDEX(Restaurants!$B$2:$B$23,MATCH(I257,Restaurants!$A$2:$A$23,0))</f>
        <v>Tunday Kababi Corner</v>
      </c>
      <c r="K257" s="7" t="str">
        <f>INDEX(Restaurants!$D$2:$D$23,MATCH(I257,Restaurants!$A$2:$A$23,0))</f>
        <v>Awadhi</v>
      </c>
    </row>
    <row r="258" spans="1:11" ht="15" customHeight="1" x14ac:dyDescent="0.3">
      <c r="A258" s="7" t="s">
        <v>382</v>
      </c>
      <c r="B258" s="7" t="s">
        <v>76</v>
      </c>
      <c r="C258" s="8">
        <v>46096</v>
      </c>
      <c r="D258" s="7" t="s">
        <v>16</v>
      </c>
      <c r="E258" s="9">
        <v>379.34</v>
      </c>
      <c r="F258" s="7" t="s">
        <v>77</v>
      </c>
      <c r="G258" s="7" t="s">
        <v>78</v>
      </c>
      <c r="H258" s="7" t="s">
        <v>79</v>
      </c>
      <c r="I258" s="7" t="s">
        <v>80</v>
      </c>
      <c r="J258" s="7" t="str">
        <f>INDEX(Restaurants!$B$2:$B$23,MATCH(I258,Restaurants!$A$2:$A$23,0))</f>
        <v>Bong Bhoj</v>
      </c>
      <c r="K258" s="7" t="str">
        <f>INDEX(Restaurants!$D$2:$D$23,MATCH(I258,Restaurants!$A$2:$A$23,0))</f>
        <v>Bengali</v>
      </c>
    </row>
    <row r="259" spans="1:11" ht="15" customHeight="1" x14ac:dyDescent="0.3">
      <c r="A259" s="7" t="s">
        <v>383</v>
      </c>
      <c r="B259" s="7" t="s">
        <v>91</v>
      </c>
      <c r="C259" s="8">
        <v>46096</v>
      </c>
      <c r="D259" s="7" t="s">
        <v>16</v>
      </c>
      <c r="E259" s="9">
        <v>973.74</v>
      </c>
      <c r="F259" s="7" t="s">
        <v>156</v>
      </c>
      <c r="G259" s="7" t="s">
        <v>157</v>
      </c>
      <c r="H259" s="7" t="s">
        <v>158</v>
      </c>
      <c r="I259" s="7" t="s">
        <v>130</v>
      </c>
      <c r="J259" s="7" t="str">
        <f>INDEX(Restaurants!$B$2:$B$23,MATCH(I259,Restaurants!$A$2:$A$23,0))</f>
        <v>Pink City Rasoi</v>
      </c>
      <c r="K259" s="7" t="str">
        <f>INDEX(Restaurants!$D$2:$D$23,MATCH(I259,Restaurants!$A$2:$A$23,0))</f>
        <v>Rajasthani</v>
      </c>
    </row>
    <row r="260" spans="1:11" ht="15" customHeight="1" x14ac:dyDescent="0.3">
      <c r="A260" s="7" t="s">
        <v>384</v>
      </c>
      <c r="B260" s="7" t="s">
        <v>63</v>
      </c>
      <c r="C260" s="8">
        <v>46096</v>
      </c>
      <c r="D260" s="7" t="s">
        <v>16</v>
      </c>
      <c r="E260" s="9">
        <v>393.94</v>
      </c>
      <c r="F260" s="7" t="s">
        <v>150</v>
      </c>
      <c r="G260" s="7" t="s">
        <v>151</v>
      </c>
      <c r="H260" s="7" t="s">
        <v>152</v>
      </c>
      <c r="I260" s="7" t="s">
        <v>68</v>
      </c>
      <c r="J260" s="7" t="str">
        <f>INDEX(Restaurants!$B$2:$B$23,MATCH(I260,Restaurants!$A$2:$A$23,0))</f>
        <v>Puneri Misal House</v>
      </c>
      <c r="K260" s="7" t="str">
        <f>INDEX(Restaurants!$D$2:$D$23,MATCH(I260,Restaurants!$A$2:$A$23,0))</f>
        <v>Maharashtrian</v>
      </c>
    </row>
    <row r="261" spans="1:11" ht="15" customHeight="1" x14ac:dyDescent="0.3">
      <c r="A261" s="7" t="s">
        <v>385</v>
      </c>
      <c r="B261" s="7" t="s">
        <v>28</v>
      </c>
      <c r="C261" s="8">
        <v>46097</v>
      </c>
      <c r="D261" s="7" t="s">
        <v>16</v>
      </c>
      <c r="E261" s="9">
        <v>959.86</v>
      </c>
      <c r="F261" s="7" t="s">
        <v>168</v>
      </c>
      <c r="G261" s="7" t="s">
        <v>169</v>
      </c>
      <c r="H261" s="7" t="s">
        <v>170</v>
      </c>
      <c r="I261" s="7" t="s">
        <v>32</v>
      </c>
      <c r="J261" s="7" t="str">
        <f>INDEX(Restaurants!$B$2:$B$23,MATCH(I261,Restaurants!$A$2:$A$23,0))</f>
        <v>Gujarat Thali Home</v>
      </c>
      <c r="K261" s="7" t="str">
        <f>INDEX(Restaurants!$D$2:$D$23,MATCH(I261,Restaurants!$A$2:$A$23,0))</f>
        <v>Gujarati</v>
      </c>
    </row>
    <row r="262" spans="1:11" ht="15" customHeight="1" x14ac:dyDescent="0.3">
      <c r="A262" s="7" t="s">
        <v>386</v>
      </c>
      <c r="B262" s="7" t="s">
        <v>34</v>
      </c>
      <c r="C262" s="8">
        <v>46097</v>
      </c>
      <c r="D262" s="7" t="s">
        <v>16</v>
      </c>
      <c r="E262" s="9">
        <v>606.20000000000005</v>
      </c>
      <c r="F262" s="7" t="s">
        <v>105</v>
      </c>
      <c r="G262" s="7" t="s">
        <v>106</v>
      </c>
      <c r="H262" s="7" t="s">
        <v>107</v>
      </c>
      <c r="I262" s="7" t="s">
        <v>39</v>
      </c>
      <c r="J262" s="7" t="str">
        <f>INDEX(Restaurants!$B$2:$B$23,MATCH(I262,Restaurants!$A$2:$A$23,0))</f>
        <v>Silicon Spice</v>
      </c>
      <c r="K262" s="7" t="str">
        <f>INDEX(Restaurants!$D$2:$D$23,MATCH(I262,Restaurants!$A$2:$A$23,0))</f>
        <v>Multi-Cuisine</v>
      </c>
    </row>
    <row r="263" spans="1:11" ht="15" customHeight="1" x14ac:dyDescent="0.3">
      <c r="A263" s="7" t="s">
        <v>387</v>
      </c>
      <c r="B263" s="7" t="s">
        <v>22</v>
      </c>
      <c r="C263" s="8">
        <v>46097</v>
      </c>
      <c r="D263" s="7" t="s">
        <v>16</v>
      </c>
      <c r="E263" s="9">
        <v>1077.68</v>
      </c>
      <c r="F263" s="7" t="s">
        <v>23</v>
      </c>
      <c r="G263" s="7" t="s">
        <v>24</v>
      </c>
      <c r="H263" s="7" t="s">
        <v>25</v>
      </c>
      <c r="I263" s="7" t="s">
        <v>98</v>
      </c>
      <c r="J263" s="7" t="str">
        <f>INDEX(Restaurants!$B$2:$B$23,MATCH(I263,Restaurants!$A$2:$A$23,0))</f>
        <v>Hyderabadi Biryani House</v>
      </c>
      <c r="K263" s="7" t="str">
        <f>INDEX(Restaurants!$D$2:$D$23,MATCH(I263,Restaurants!$A$2:$A$23,0))</f>
        <v>Biryani</v>
      </c>
    </row>
    <row r="264" spans="1:11" ht="15" customHeight="1" x14ac:dyDescent="0.3">
      <c r="A264" s="7" t="s">
        <v>388</v>
      </c>
      <c r="B264" s="7" t="s">
        <v>34</v>
      </c>
      <c r="C264" s="8">
        <v>46097</v>
      </c>
      <c r="D264" s="7" t="s">
        <v>16</v>
      </c>
      <c r="E264" s="9">
        <v>1027.31</v>
      </c>
      <c r="F264" s="7" t="s">
        <v>36</v>
      </c>
      <c r="G264" s="7" t="s">
        <v>37</v>
      </c>
      <c r="H264" s="7" t="s">
        <v>38</v>
      </c>
      <c r="I264" s="7" t="s">
        <v>39</v>
      </c>
      <c r="J264" s="7" t="str">
        <f>INDEX(Restaurants!$B$2:$B$23,MATCH(I264,Restaurants!$A$2:$A$23,0))</f>
        <v>Silicon Spice</v>
      </c>
      <c r="K264" s="7" t="str">
        <f>INDEX(Restaurants!$D$2:$D$23,MATCH(I264,Restaurants!$A$2:$A$23,0))</f>
        <v>Multi-Cuisine</v>
      </c>
    </row>
    <row r="265" spans="1:11" ht="15" customHeight="1" x14ac:dyDescent="0.3">
      <c r="A265" s="7" t="s">
        <v>389</v>
      </c>
      <c r="B265" s="7" t="s">
        <v>91</v>
      </c>
      <c r="C265" s="8">
        <v>46099</v>
      </c>
      <c r="D265" s="7" t="s">
        <v>35</v>
      </c>
      <c r="E265" s="9">
        <v>616.14</v>
      </c>
      <c r="F265" s="7" t="s">
        <v>92</v>
      </c>
      <c r="G265" s="7" t="s">
        <v>93</v>
      </c>
      <c r="H265" s="7" t="s">
        <v>94</v>
      </c>
      <c r="I265" s="7" t="s">
        <v>95</v>
      </c>
      <c r="J265" s="7" t="str">
        <f>INDEX(Restaurants!$B$2:$B$23,MATCH(I265,Restaurants!$A$2:$A$23,0))</f>
        <v>Royal Thali Palace</v>
      </c>
      <c r="K265" s="7" t="str">
        <f>INDEX(Restaurants!$D$2:$D$23,MATCH(I265,Restaurants!$A$2:$A$23,0))</f>
        <v>Rajasthani</v>
      </c>
    </row>
    <row r="266" spans="1:11" ht="15" customHeight="1" x14ac:dyDescent="0.3">
      <c r="A266" s="7" t="s">
        <v>390</v>
      </c>
      <c r="B266" s="7" t="s">
        <v>70</v>
      </c>
      <c r="C266" s="8">
        <v>46099</v>
      </c>
      <c r="D266" s="7" t="s">
        <v>35</v>
      </c>
      <c r="E266" s="9">
        <v>721.34</v>
      </c>
      <c r="F266" s="7" t="s">
        <v>111</v>
      </c>
      <c r="G266" s="7" t="s">
        <v>112</v>
      </c>
      <c r="H266" s="7" t="s">
        <v>113</v>
      </c>
      <c r="I266" s="7" t="s">
        <v>74</v>
      </c>
      <c r="J266" s="7" t="str">
        <f>INDEX(Restaurants!$B$2:$B$23,MATCH(I266,Restaurants!$A$2:$A$23,0))</f>
        <v>Chettinad Corner</v>
      </c>
      <c r="K266" s="7" t="str">
        <f>INDEX(Restaurants!$D$2:$D$23,MATCH(I266,Restaurants!$A$2:$A$23,0))</f>
        <v>Chettinad</v>
      </c>
    </row>
    <row r="267" spans="1:11" ht="15" customHeight="1" x14ac:dyDescent="0.3">
      <c r="A267" s="7" t="s">
        <v>391</v>
      </c>
      <c r="B267" s="7" t="s">
        <v>76</v>
      </c>
      <c r="C267" s="8">
        <v>46099</v>
      </c>
      <c r="D267" s="7" t="s">
        <v>16</v>
      </c>
      <c r="E267" s="9">
        <v>993.93</v>
      </c>
      <c r="F267" s="7" t="s">
        <v>77</v>
      </c>
      <c r="G267" s="7" t="s">
        <v>78</v>
      </c>
      <c r="H267" s="7" t="s">
        <v>79</v>
      </c>
      <c r="I267" s="7" t="s">
        <v>80</v>
      </c>
      <c r="J267" s="7" t="str">
        <f>INDEX(Restaurants!$B$2:$B$23,MATCH(I267,Restaurants!$A$2:$A$23,0))</f>
        <v>Bong Bhoj</v>
      </c>
      <c r="K267" s="7" t="str">
        <f>INDEX(Restaurants!$D$2:$D$23,MATCH(I267,Restaurants!$A$2:$A$23,0))</f>
        <v>Bengali</v>
      </c>
    </row>
    <row r="268" spans="1:11" ht="15" customHeight="1" x14ac:dyDescent="0.3">
      <c r="A268" s="7" t="s">
        <v>392</v>
      </c>
      <c r="B268" s="7" t="s">
        <v>57</v>
      </c>
      <c r="C268" s="8">
        <v>46100</v>
      </c>
      <c r="D268" s="7" t="s">
        <v>16</v>
      </c>
      <c r="E268" s="9">
        <v>786.26</v>
      </c>
      <c r="F268" s="7" t="s">
        <v>58</v>
      </c>
      <c r="G268" s="7" t="s">
        <v>59</v>
      </c>
      <c r="H268" s="7" t="s">
        <v>60</v>
      </c>
      <c r="I268" s="7" t="s">
        <v>61</v>
      </c>
      <c r="J268" s="7" t="str">
        <f>INDEX(Restaurants!$B$2:$B$23,MATCH(I268,Restaurants!$A$2:$A$23,0))</f>
        <v>Fort Kochi Seafoods</v>
      </c>
      <c r="K268" s="7" t="str">
        <f>INDEX(Restaurants!$D$2:$D$23,MATCH(I268,Restaurants!$A$2:$A$23,0))</f>
        <v>Seafood</v>
      </c>
    </row>
    <row r="269" spans="1:11" ht="15" customHeight="1" x14ac:dyDescent="0.3">
      <c r="A269" s="7" t="s">
        <v>393</v>
      </c>
      <c r="B269" s="7" t="s">
        <v>34</v>
      </c>
      <c r="C269" s="8">
        <v>46100</v>
      </c>
      <c r="D269" s="7" t="s">
        <v>16</v>
      </c>
      <c r="E269" s="9">
        <v>869.22</v>
      </c>
      <c r="F269" s="7" t="s">
        <v>100</v>
      </c>
      <c r="G269" s="7" t="s">
        <v>101</v>
      </c>
      <c r="H269" s="7" t="s">
        <v>102</v>
      </c>
      <c r="I269" s="7" t="s">
        <v>103</v>
      </c>
      <c r="J269" s="7" t="str">
        <f>INDEX(Restaurants!$B$2:$B$23,MATCH(I269,Restaurants!$A$2:$A$23,0))</f>
        <v>Namma Bangalore Cafe</v>
      </c>
      <c r="K269" s="7" t="str">
        <f>INDEX(Restaurants!$D$2:$D$23,MATCH(I269,Restaurants!$A$2:$A$23,0))</f>
        <v>South Indian</v>
      </c>
    </row>
    <row r="270" spans="1:11" ht="15" customHeight="1" x14ac:dyDescent="0.3">
      <c r="A270" s="7" t="s">
        <v>394</v>
      </c>
      <c r="B270" s="7" t="s">
        <v>121</v>
      </c>
      <c r="C270" s="8">
        <v>46100</v>
      </c>
      <c r="D270" s="7" t="s">
        <v>16</v>
      </c>
      <c r="E270" s="9">
        <v>826.56</v>
      </c>
      <c r="F270" s="7" t="s">
        <v>143</v>
      </c>
      <c r="G270" s="7" t="s">
        <v>144</v>
      </c>
      <c r="H270" s="7" t="s">
        <v>145</v>
      </c>
      <c r="I270" s="7" t="s">
        <v>146</v>
      </c>
      <c r="J270" s="7" t="str">
        <f>INDEX(Restaurants!$B$2:$B$23,MATCH(I270,Restaurants!$A$2:$A$23,0))</f>
        <v>Delhi Darbar</v>
      </c>
      <c r="K270" s="7" t="str">
        <f>INDEX(Restaurants!$D$2:$D$23,MATCH(I270,Restaurants!$A$2:$A$23,0))</f>
        <v>North Indian</v>
      </c>
    </row>
    <row r="271" spans="1:11" ht="15" customHeight="1" x14ac:dyDescent="0.3">
      <c r="A271" s="7" t="s">
        <v>395</v>
      </c>
      <c r="B271" s="7" t="s">
        <v>15</v>
      </c>
      <c r="C271" s="8">
        <v>46101</v>
      </c>
      <c r="D271" s="7" t="s">
        <v>16</v>
      </c>
      <c r="E271" s="9">
        <v>688.28</v>
      </c>
      <c r="F271" s="7" t="s">
        <v>17</v>
      </c>
      <c r="G271" s="7" t="s">
        <v>18</v>
      </c>
      <c r="H271" s="7" t="s">
        <v>19</v>
      </c>
      <c r="I271" s="7" t="s">
        <v>49</v>
      </c>
      <c r="J271" s="7" t="str">
        <f>INDEX(Restaurants!$B$2:$B$23,MATCH(I271,Restaurants!$A$2:$A$23,0))</f>
        <v>Bombay Bites</v>
      </c>
      <c r="K271" s="7" t="str">
        <f>INDEX(Restaurants!$D$2:$D$23,MATCH(I271,Restaurants!$A$2:$A$23,0))</f>
        <v>Street Food</v>
      </c>
    </row>
    <row r="272" spans="1:11" ht="15" customHeight="1" x14ac:dyDescent="0.3">
      <c r="A272" s="7" t="s">
        <v>396</v>
      </c>
      <c r="B272" s="7" t="s">
        <v>51</v>
      </c>
      <c r="C272" s="8">
        <v>46102</v>
      </c>
      <c r="D272" s="7" t="s">
        <v>64</v>
      </c>
      <c r="E272" s="9">
        <v>1193.95</v>
      </c>
      <c r="F272" s="7" t="s">
        <v>134</v>
      </c>
      <c r="G272" s="7" t="s">
        <v>135</v>
      </c>
      <c r="H272" s="7" t="s">
        <v>136</v>
      </c>
      <c r="I272" s="7" t="s">
        <v>55</v>
      </c>
      <c r="J272" s="7" t="str">
        <f>INDEX(Restaurants!$B$2:$B$23,MATCH(I272,Restaurants!$A$2:$A$23,0))</f>
        <v>Tunday Kababi Corner</v>
      </c>
      <c r="K272" s="7" t="str">
        <f>INDEX(Restaurants!$D$2:$D$23,MATCH(I272,Restaurants!$A$2:$A$23,0))</f>
        <v>Awadhi</v>
      </c>
    </row>
    <row r="273" spans="1:11" ht="15" customHeight="1" x14ac:dyDescent="0.3">
      <c r="A273" s="7" t="s">
        <v>397</v>
      </c>
      <c r="B273" s="7" t="s">
        <v>91</v>
      </c>
      <c r="C273" s="8">
        <v>46102</v>
      </c>
      <c r="D273" s="7" t="s">
        <v>16</v>
      </c>
      <c r="E273" s="9">
        <v>416.01</v>
      </c>
      <c r="F273" s="7" t="s">
        <v>156</v>
      </c>
      <c r="G273" s="7" t="s">
        <v>157</v>
      </c>
      <c r="H273" s="7" t="s">
        <v>158</v>
      </c>
      <c r="I273" s="7" t="s">
        <v>130</v>
      </c>
      <c r="J273" s="7" t="str">
        <f>INDEX(Restaurants!$B$2:$B$23,MATCH(I273,Restaurants!$A$2:$A$23,0))</f>
        <v>Pink City Rasoi</v>
      </c>
      <c r="K273" s="7" t="str">
        <f>INDEX(Restaurants!$D$2:$D$23,MATCH(I273,Restaurants!$A$2:$A$23,0))</f>
        <v>Rajasthani</v>
      </c>
    </row>
    <row r="274" spans="1:11" ht="15" customHeight="1" x14ac:dyDescent="0.3">
      <c r="A274" s="7" t="s">
        <v>398</v>
      </c>
      <c r="B274" s="7" t="s">
        <v>57</v>
      </c>
      <c r="C274" s="8">
        <v>46102</v>
      </c>
      <c r="D274" s="7" t="s">
        <v>16</v>
      </c>
      <c r="E274" s="9">
        <v>881.98</v>
      </c>
      <c r="F274" s="7" t="s">
        <v>58</v>
      </c>
      <c r="G274" s="7" t="s">
        <v>59</v>
      </c>
      <c r="H274" s="7" t="s">
        <v>60</v>
      </c>
      <c r="I274" s="7" t="s">
        <v>154</v>
      </c>
      <c r="J274" s="7" t="str">
        <f>INDEX(Restaurants!$B$2:$B$23,MATCH(I274,Restaurants!$A$2:$A$23,0))</f>
        <v>Kerala Backwater Kitchen</v>
      </c>
      <c r="K274" s="7" t="str">
        <f>INDEX(Restaurants!$D$2:$D$23,MATCH(I274,Restaurants!$A$2:$A$23,0))</f>
        <v>Kerala</v>
      </c>
    </row>
    <row r="275" spans="1:11" ht="15" customHeight="1" x14ac:dyDescent="0.3">
      <c r="A275" s="7" t="s">
        <v>399</v>
      </c>
      <c r="B275" s="7" t="s">
        <v>63</v>
      </c>
      <c r="C275" s="8">
        <v>46102</v>
      </c>
      <c r="D275" s="7" t="s">
        <v>16</v>
      </c>
      <c r="E275" s="9">
        <v>451.31</v>
      </c>
      <c r="F275" s="7" t="s">
        <v>150</v>
      </c>
      <c r="G275" s="7" t="s">
        <v>151</v>
      </c>
      <c r="H275" s="7" t="s">
        <v>152</v>
      </c>
      <c r="I275" s="7" t="s">
        <v>85</v>
      </c>
      <c r="J275" s="7" t="str">
        <f>INDEX(Restaurants!$B$2:$B$23,MATCH(I275,Restaurants!$A$2:$A$23,0))</f>
        <v>Deccan Diner</v>
      </c>
      <c r="K275" s="7" t="str">
        <f>INDEX(Restaurants!$D$2:$D$23,MATCH(I275,Restaurants!$A$2:$A$23,0))</f>
        <v>Continental</v>
      </c>
    </row>
    <row r="276" spans="1:11" ht="15" customHeight="1" x14ac:dyDescent="0.3">
      <c r="A276" s="7" t="s">
        <v>400</v>
      </c>
      <c r="B276" s="7" t="s">
        <v>76</v>
      </c>
      <c r="C276" s="8">
        <v>46102</v>
      </c>
      <c r="D276" s="7" t="s">
        <v>16</v>
      </c>
      <c r="E276" s="9">
        <v>766.03</v>
      </c>
      <c r="F276" s="7" t="s">
        <v>77</v>
      </c>
      <c r="G276" s="7" t="s">
        <v>78</v>
      </c>
      <c r="H276" s="7" t="s">
        <v>79</v>
      </c>
      <c r="I276" s="7" t="s">
        <v>80</v>
      </c>
      <c r="J276" s="7" t="str">
        <f>INDEX(Restaurants!$B$2:$B$23,MATCH(I276,Restaurants!$A$2:$A$23,0))</f>
        <v>Bong Bhoj</v>
      </c>
      <c r="K276" s="7" t="str">
        <f>INDEX(Restaurants!$D$2:$D$23,MATCH(I276,Restaurants!$A$2:$A$23,0))</f>
        <v>Bengali</v>
      </c>
    </row>
    <row r="277" spans="1:11" ht="15" customHeight="1" x14ac:dyDescent="0.3">
      <c r="A277" s="7" t="s">
        <v>401</v>
      </c>
      <c r="B277" s="7" t="s">
        <v>51</v>
      </c>
      <c r="C277" s="8">
        <v>46103</v>
      </c>
      <c r="D277" s="7" t="s">
        <v>64</v>
      </c>
      <c r="E277" s="9">
        <v>1084.78</v>
      </c>
      <c r="F277" s="7" t="s">
        <v>52</v>
      </c>
      <c r="G277" s="7" t="s">
        <v>53</v>
      </c>
      <c r="H277" s="7" t="s">
        <v>54</v>
      </c>
      <c r="I277" s="7" t="s">
        <v>137</v>
      </c>
      <c r="J277" s="7" t="str">
        <f>INDEX(Restaurants!$B$2:$B$23,MATCH(I277,Restaurants!$A$2:$A$23,0))</f>
        <v>Nawabi Nights</v>
      </c>
      <c r="K277" s="7" t="str">
        <f>INDEX(Restaurants!$D$2:$D$23,MATCH(I277,Restaurants!$A$2:$A$23,0))</f>
        <v>Mughlai</v>
      </c>
    </row>
    <row r="278" spans="1:11" ht="15" customHeight="1" x14ac:dyDescent="0.3">
      <c r="A278" s="7" t="s">
        <v>402</v>
      </c>
      <c r="B278" s="7" t="s">
        <v>57</v>
      </c>
      <c r="C278" s="8">
        <v>46103</v>
      </c>
      <c r="D278" s="7" t="s">
        <v>16</v>
      </c>
      <c r="E278" s="9">
        <v>1154.0999999999999</v>
      </c>
      <c r="F278" s="7" t="s">
        <v>58</v>
      </c>
      <c r="G278" s="7" t="s">
        <v>59</v>
      </c>
      <c r="H278" s="7" t="s">
        <v>60</v>
      </c>
      <c r="I278" s="7" t="s">
        <v>61</v>
      </c>
      <c r="J278" s="7" t="str">
        <f>INDEX(Restaurants!$B$2:$B$23,MATCH(I278,Restaurants!$A$2:$A$23,0))</f>
        <v>Fort Kochi Seafoods</v>
      </c>
      <c r="K278" s="7" t="str">
        <f>INDEX(Restaurants!$D$2:$D$23,MATCH(I278,Restaurants!$A$2:$A$23,0))</f>
        <v>Seafood</v>
      </c>
    </row>
    <row r="279" spans="1:11" ht="15" customHeight="1" x14ac:dyDescent="0.3">
      <c r="A279" s="7" t="s">
        <v>403</v>
      </c>
      <c r="B279" s="7" t="s">
        <v>91</v>
      </c>
      <c r="C279" s="8">
        <v>46103</v>
      </c>
      <c r="D279" s="7" t="s">
        <v>35</v>
      </c>
      <c r="E279" s="9">
        <v>819.88</v>
      </c>
      <c r="F279" s="7" t="s">
        <v>92</v>
      </c>
      <c r="G279" s="7" t="s">
        <v>93</v>
      </c>
      <c r="H279" s="7" t="s">
        <v>94</v>
      </c>
      <c r="I279" s="7" t="s">
        <v>130</v>
      </c>
      <c r="J279" s="7" t="str">
        <f>INDEX(Restaurants!$B$2:$B$23,MATCH(I279,Restaurants!$A$2:$A$23,0))</f>
        <v>Pink City Rasoi</v>
      </c>
      <c r="K279" s="7" t="str">
        <f>INDEX(Restaurants!$D$2:$D$23,MATCH(I279,Restaurants!$A$2:$A$23,0))</f>
        <v>Rajasthani</v>
      </c>
    </row>
    <row r="280" spans="1:11" ht="15" customHeight="1" x14ac:dyDescent="0.3">
      <c r="A280" s="7" t="s">
        <v>404</v>
      </c>
      <c r="B280" s="7" t="s">
        <v>15</v>
      </c>
      <c r="C280" s="8">
        <v>46103</v>
      </c>
      <c r="D280" s="7" t="s">
        <v>16</v>
      </c>
      <c r="E280" s="9">
        <v>1043.44</v>
      </c>
      <c r="F280" s="7" t="s">
        <v>87</v>
      </c>
      <c r="G280" s="7" t="s">
        <v>88</v>
      </c>
      <c r="H280" s="7" t="s">
        <v>89</v>
      </c>
      <c r="I280" s="7" t="s">
        <v>49</v>
      </c>
      <c r="J280" s="7" t="str">
        <f>INDEX(Restaurants!$B$2:$B$23,MATCH(I280,Restaurants!$A$2:$A$23,0))</f>
        <v>Bombay Bites</v>
      </c>
      <c r="K280" s="7" t="str">
        <f>INDEX(Restaurants!$D$2:$D$23,MATCH(I280,Restaurants!$A$2:$A$23,0))</f>
        <v>Street Food</v>
      </c>
    </row>
    <row r="281" spans="1:11" ht="15" customHeight="1" x14ac:dyDescent="0.3">
      <c r="A281" s="7" t="s">
        <v>405</v>
      </c>
      <c r="B281" s="7" t="s">
        <v>91</v>
      </c>
      <c r="C281" s="8">
        <v>46103</v>
      </c>
      <c r="D281" s="7" t="s">
        <v>35</v>
      </c>
      <c r="E281" s="9">
        <v>186.48</v>
      </c>
      <c r="F281" s="7" t="s">
        <v>92</v>
      </c>
      <c r="G281" s="7" t="s">
        <v>93</v>
      </c>
      <c r="H281" s="7" t="s">
        <v>94</v>
      </c>
      <c r="I281" s="7" t="s">
        <v>95</v>
      </c>
      <c r="J281" s="7" t="str">
        <f>INDEX(Restaurants!$B$2:$B$23,MATCH(I281,Restaurants!$A$2:$A$23,0))</f>
        <v>Royal Thali Palace</v>
      </c>
      <c r="K281" s="7" t="str">
        <f>INDEX(Restaurants!$D$2:$D$23,MATCH(I281,Restaurants!$A$2:$A$23,0))</f>
        <v>Rajasthani</v>
      </c>
    </row>
    <row r="282" spans="1:11" ht="15" customHeight="1" x14ac:dyDescent="0.3">
      <c r="A282" s="7" t="s">
        <v>406</v>
      </c>
      <c r="B282" s="7" t="s">
        <v>57</v>
      </c>
      <c r="C282" s="8">
        <v>46103</v>
      </c>
      <c r="D282" s="7" t="s">
        <v>45</v>
      </c>
      <c r="E282" s="9">
        <v>702.43</v>
      </c>
      <c r="F282" s="7" t="s">
        <v>58</v>
      </c>
      <c r="G282" s="7" t="s">
        <v>59</v>
      </c>
      <c r="H282" s="7" t="s">
        <v>60</v>
      </c>
      <c r="I282" s="7" t="s">
        <v>154</v>
      </c>
      <c r="J282" s="7" t="str">
        <f>INDEX(Restaurants!$B$2:$B$23,MATCH(I282,Restaurants!$A$2:$A$23,0))</f>
        <v>Kerala Backwater Kitchen</v>
      </c>
      <c r="K282" s="7" t="str">
        <f>INDEX(Restaurants!$D$2:$D$23,MATCH(I282,Restaurants!$A$2:$A$23,0))</f>
        <v>Kerala</v>
      </c>
    </row>
    <row r="283" spans="1:11" ht="15" customHeight="1" x14ac:dyDescent="0.3">
      <c r="A283" s="7" t="s">
        <v>407</v>
      </c>
      <c r="B283" s="7" t="s">
        <v>51</v>
      </c>
      <c r="C283" s="8">
        <v>46104</v>
      </c>
      <c r="D283" s="7" t="s">
        <v>16</v>
      </c>
      <c r="E283" s="9">
        <v>840.07</v>
      </c>
      <c r="F283" s="7" t="s">
        <v>134</v>
      </c>
      <c r="G283" s="7" t="s">
        <v>135</v>
      </c>
      <c r="H283" s="7" t="s">
        <v>136</v>
      </c>
      <c r="I283" s="7" t="s">
        <v>55</v>
      </c>
      <c r="J283" s="7" t="str">
        <f>INDEX(Restaurants!$B$2:$B$23,MATCH(I283,Restaurants!$A$2:$A$23,0))</f>
        <v>Tunday Kababi Corner</v>
      </c>
      <c r="K283" s="7" t="str">
        <f>INDEX(Restaurants!$D$2:$D$23,MATCH(I283,Restaurants!$A$2:$A$23,0))</f>
        <v>Awadhi</v>
      </c>
    </row>
    <row r="284" spans="1:11" ht="15" customHeight="1" x14ac:dyDescent="0.3">
      <c r="A284" s="7" t="s">
        <v>408</v>
      </c>
      <c r="B284" s="7" t="s">
        <v>121</v>
      </c>
      <c r="C284" s="8">
        <v>46104</v>
      </c>
      <c r="D284" s="7" t="s">
        <v>35</v>
      </c>
      <c r="E284" s="9">
        <v>742.07</v>
      </c>
      <c r="F284" s="7" t="s">
        <v>143</v>
      </c>
      <c r="G284" s="7" t="s">
        <v>144</v>
      </c>
      <c r="H284" s="7" t="s">
        <v>145</v>
      </c>
      <c r="I284" s="7" t="s">
        <v>146</v>
      </c>
      <c r="J284" s="7" t="str">
        <f>INDEX(Restaurants!$B$2:$B$23,MATCH(I284,Restaurants!$A$2:$A$23,0))</f>
        <v>Delhi Darbar</v>
      </c>
      <c r="K284" s="7" t="str">
        <f>INDEX(Restaurants!$D$2:$D$23,MATCH(I284,Restaurants!$A$2:$A$23,0))</f>
        <v>North Indian</v>
      </c>
    </row>
    <row r="285" spans="1:11" ht="15" customHeight="1" x14ac:dyDescent="0.3">
      <c r="A285" s="7" t="s">
        <v>409</v>
      </c>
      <c r="B285" s="7" t="s">
        <v>15</v>
      </c>
      <c r="C285" s="8">
        <v>46104</v>
      </c>
      <c r="D285" s="7" t="s">
        <v>16</v>
      </c>
      <c r="E285" s="9">
        <v>623.62</v>
      </c>
      <c r="F285" s="7" t="s">
        <v>46</v>
      </c>
      <c r="G285" s="7" t="s">
        <v>47</v>
      </c>
      <c r="H285" s="7" t="s">
        <v>48</v>
      </c>
      <c r="I285" s="7" t="s">
        <v>20</v>
      </c>
      <c r="J285" s="7" t="str">
        <f>INDEX(Restaurants!$B$2:$B$23,MATCH(I285,Restaurants!$A$2:$A$23,0))</f>
        <v>Sea Breeze Grill</v>
      </c>
      <c r="K285" s="7" t="str">
        <f>INDEX(Restaurants!$D$2:$D$23,MATCH(I285,Restaurants!$A$2:$A$23,0))</f>
        <v>Seafood</v>
      </c>
    </row>
    <row r="286" spans="1:11" ht="15" customHeight="1" x14ac:dyDescent="0.3">
      <c r="A286" s="7" t="s">
        <v>410</v>
      </c>
      <c r="B286" s="7" t="s">
        <v>121</v>
      </c>
      <c r="C286" s="8">
        <v>46105</v>
      </c>
      <c r="D286" s="7" t="s">
        <v>16</v>
      </c>
      <c r="E286" s="9">
        <v>668.19</v>
      </c>
      <c r="F286" s="7" t="s">
        <v>173</v>
      </c>
      <c r="G286" s="7" t="s">
        <v>174</v>
      </c>
      <c r="H286" s="7" t="s">
        <v>175</v>
      </c>
      <c r="I286" s="7" t="s">
        <v>125</v>
      </c>
      <c r="J286" s="7" t="str">
        <f>INDEX(Restaurants!$B$2:$B$23,MATCH(I286,Restaurants!$A$2:$A$23,0))</f>
        <v>Karim's Kitchen</v>
      </c>
      <c r="K286" s="7" t="str">
        <f>INDEX(Restaurants!$D$2:$D$23,MATCH(I286,Restaurants!$A$2:$A$23,0))</f>
        <v>Mughlai</v>
      </c>
    </row>
    <row r="287" spans="1:11" ht="15" customHeight="1" x14ac:dyDescent="0.3">
      <c r="A287" s="7" t="s">
        <v>411</v>
      </c>
      <c r="B287" s="7" t="s">
        <v>22</v>
      </c>
      <c r="C287" s="8">
        <v>46105</v>
      </c>
      <c r="D287" s="7" t="s">
        <v>16</v>
      </c>
      <c r="E287" s="9">
        <v>641.54</v>
      </c>
      <c r="F287" s="7" t="s">
        <v>23</v>
      </c>
      <c r="G287" s="7" t="s">
        <v>24</v>
      </c>
      <c r="H287" s="7" t="s">
        <v>25</v>
      </c>
      <c r="I287" s="7" t="s">
        <v>98</v>
      </c>
      <c r="J287" s="7" t="str">
        <f>INDEX(Restaurants!$B$2:$B$23,MATCH(I287,Restaurants!$A$2:$A$23,0))</f>
        <v>Hyderabadi Biryani House</v>
      </c>
      <c r="K287" s="7" t="str">
        <f>INDEX(Restaurants!$D$2:$D$23,MATCH(I287,Restaurants!$A$2:$A$23,0))</f>
        <v>Biryani</v>
      </c>
    </row>
    <row r="288" spans="1:11" ht="15" customHeight="1" x14ac:dyDescent="0.3">
      <c r="A288" s="7" t="s">
        <v>412</v>
      </c>
      <c r="B288" s="7" t="s">
        <v>76</v>
      </c>
      <c r="C288" s="8">
        <v>46105</v>
      </c>
      <c r="D288" s="7" t="s">
        <v>16</v>
      </c>
      <c r="E288" s="9">
        <v>1106.1600000000001</v>
      </c>
      <c r="F288" s="7" t="s">
        <v>117</v>
      </c>
      <c r="G288" s="7" t="s">
        <v>118</v>
      </c>
      <c r="H288" s="7" t="s">
        <v>119</v>
      </c>
      <c r="I288" s="7" t="s">
        <v>80</v>
      </c>
      <c r="J288" s="7" t="str">
        <f>INDEX(Restaurants!$B$2:$B$23,MATCH(I288,Restaurants!$A$2:$A$23,0))</f>
        <v>Bong Bhoj</v>
      </c>
      <c r="K288" s="7" t="str">
        <f>INDEX(Restaurants!$D$2:$D$23,MATCH(I288,Restaurants!$A$2:$A$23,0))</f>
        <v>Bengali</v>
      </c>
    </row>
    <row r="289" spans="1:11" ht="15" customHeight="1" x14ac:dyDescent="0.3">
      <c r="A289" s="7" t="s">
        <v>413</v>
      </c>
      <c r="B289" s="7" t="s">
        <v>121</v>
      </c>
      <c r="C289" s="8">
        <v>46106</v>
      </c>
      <c r="D289" s="7" t="s">
        <v>16</v>
      </c>
      <c r="E289" s="9">
        <v>1096.52</v>
      </c>
      <c r="F289" s="7" t="s">
        <v>122</v>
      </c>
      <c r="G289" s="7" t="s">
        <v>123</v>
      </c>
      <c r="H289" s="7" t="s">
        <v>124</v>
      </c>
      <c r="I289" s="7" t="s">
        <v>146</v>
      </c>
      <c r="J289" s="7" t="str">
        <f>INDEX(Restaurants!$B$2:$B$23,MATCH(I289,Restaurants!$A$2:$A$23,0))</f>
        <v>Delhi Darbar</v>
      </c>
      <c r="K289" s="7" t="str">
        <f>INDEX(Restaurants!$D$2:$D$23,MATCH(I289,Restaurants!$A$2:$A$23,0))</f>
        <v>North Indian</v>
      </c>
    </row>
    <row r="290" spans="1:11" ht="15" customHeight="1" x14ac:dyDescent="0.3">
      <c r="A290" s="7" t="s">
        <v>414</v>
      </c>
      <c r="B290" s="7" t="s">
        <v>57</v>
      </c>
      <c r="C290" s="8">
        <v>46106</v>
      </c>
      <c r="D290" s="7" t="s">
        <v>16</v>
      </c>
      <c r="E290" s="9">
        <v>406.07</v>
      </c>
      <c r="F290" s="7" t="s">
        <v>58</v>
      </c>
      <c r="G290" s="7" t="s">
        <v>59</v>
      </c>
      <c r="H290" s="7" t="s">
        <v>60</v>
      </c>
      <c r="I290" s="7" t="s">
        <v>154</v>
      </c>
      <c r="J290" s="7" t="str">
        <f>INDEX(Restaurants!$B$2:$B$23,MATCH(I290,Restaurants!$A$2:$A$23,0))</f>
        <v>Kerala Backwater Kitchen</v>
      </c>
      <c r="K290" s="7" t="str">
        <f>INDEX(Restaurants!$D$2:$D$23,MATCH(I290,Restaurants!$A$2:$A$23,0))</f>
        <v>Kerala</v>
      </c>
    </row>
    <row r="291" spans="1:11" ht="15" customHeight="1" x14ac:dyDescent="0.3">
      <c r="A291" s="7" t="s">
        <v>415</v>
      </c>
      <c r="B291" s="7" t="s">
        <v>15</v>
      </c>
      <c r="C291" s="8">
        <v>46107</v>
      </c>
      <c r="D291" s="7" t="s">
        <v>64</v>
      </c>
      <c r="E291" s="9">
        <v>289.26</v>
      </c>
      <c r="F291" s="7" t="s">
        <v>87</v>
      </c>
      <c r="G291" s="7" t="s">
        <v>88</v>
      </c>
      <c r="H291" s="7" t="s">
        <v>89</v>
      </c>
      <c r="I291" s="7" t="s">
        <v>49</v>
      </c>
      <c r="J291" s="7" t="str">
        <f>INDEX(Restaurants!$B$2:$B$23,MATCH(I291,Restaurants!$A$2:$A$23,0))</f>
        <v>Bombay Bites</v>
      </c>
      <c r="K291" s="7" t="str">
        <f>INDEX(Restaurants!$D$2:$D$23,MATCH(I291,Restaurants!$A$2:$A$23,0))</f>
        <v>Street Food</v>
      </c>
    </row>
    <row r="292" spans="1:11" ht="15" customHeight="1" x14ac:dyDescent="0.3">
      <c r="A292" s="7" t="s">
        <v>416</v>
      </c>
      <c r="B292" s="7" t="s">
        <v>63</v>
      </c>
      <c r="C292" s="8">
        <v>46108</v>
      </c>
      <c r="D292" s="7" t="s">
        <v>16</v>
      </c>
      <c r="E292" s="9">
        <v>588.04</v>
      </c>
      <c r="F292" s="7" t="s">
        <v>65</v>
      </c>
      <c r="G292" s="7" t="s">
        <v>66</v>
      </c>
      <c r="H292" s="7" t="s">
        <v>67</v>
      </c>
      <c r="I292" s="7" t="s">
        <v>68</v>
      </c>
      <c r="J292" s="7" t="str">
        <f>INDEX(Restaurants!$B$2:$B$23,MATCH(I292,Restaurants!$A$2:$A$23,0))</f>
        <v>Puneri Misal House</v>
      </c>
      <c r="K292" s="7" t="str">
        <f>INDEX(Restaurants!$D$2:$D$23,MATCH(I292,Restaurants!$A$2:$A$23,0))</f>
        <v>Maharashtrian</v>
      </c>
    </row>
    <row r="293" spans="1:11" ht="15" customHeight="1" x14ac:dyDescent="0.3">
      <c r="A293" s="7" t="s">
        <v>417</v>
      </c>
      <c r="B293" s="7" t="s">
        <v>22</v>
      </c>
      <c r="C293" s="8">
        <v>46108</v>
      </c>
      <c r="D293" s="7" t="s">
        <v>35</v>
      </c>
      <c r="E293" s="9">
        <v>842.6</v>
      </c>
      <c r="F293" s="7" t="s">
        <v>23</v>
      </c>
      <c r="G293" s="7" t="s">
        <v>24</v>
      </c>
      <c r="H293" s="7" t="s">
        <v>25</v>
      </c>
      <c r="I293" s="7" t="s">
        <v>26</v>
      </c>
      <c r="J293" s="7" t="str">
        <f>INDEX(Restaurants!$B$2:$B$23,MATCH(I293,Restaurants!$A$2:$A$23,0))</f>
        <v>Nizam's Table</v>
      </c>
      <c r="K293" s="7" t="str">
        <f>INDEX(Restaurants!$D$2:$D$23,MATCH(I293,Restaurants!$A$2:$A$23,0))</f>
        <v>Mughlai</v>
      </c>
    </row>
    <row r="294" spans="1:11" ht="15" customHeight="1" x14ac:dyDescent="0.3">
      <c r="A294" s="7" t="s">
        <v>418</v>
      </c>
      <c r="B294" s="7" t="s">
        <v>28</v>
      </c>
      <c r="C294" s="8">
        <v>46109</v>
      </c>
      <c r="D294" s="7" t="s">
        <v>16</v>
      </c>
      <c r="E294" s="9">
        <v>311.93</v>
      </c>
      <c r="F294" s="7" t="s">
        <v>29</v>
      </c>
      <c r="G294" s="7" t="s">
        <v>30</v>
      </c>
      <c r="H294" s="7" t="s">
        <v>31</v>
      </c>
      <c r="I294" s="7" t="s">
        <v>32</v>
      </c>
      <c r="J294" s="7" t="str">
        <f>INDEX(Restaurants!$B$2:$B$23,MATCH(I294,Restaurants!$A$2:$A$23,0))</f>
        <v>Gujarat Thali Home</v>
      </c>
      <c r="K294" s="7" t="str">
        <f>INDEX(Restaurants!$D$2:$D$23,MATCH(I294,Restaurants!$A$2:$A$23,0))</f>
        <v>Gujarati</v>
      </c>
    </row>
    <row r="295" spans="1:11" ht="15" customHeight="1" x14ac:dyDescent="0.3">
      <c r="A295" s="7" t="s">
        <v>419</v>
      </c>
      <c r="B295" s="7" t="s">
        <v>15</v>
      </c>
      <c r="C295" s="8">
        <v>46109</v>
      </c>
      <c r="D295" s="7" t="s">
        <v>16</v>
      </c>
      <c r="E295" s="9">
        <v>1144.6199999999999</v>
      </c>
      <c r="F295" s="7" t="s">
        <v>17</v>
      </c>
      <c r="G295" s="7" t="s">
        <v>18</v>
      </c>
      <c r="H295" s="7" t="s">
        <v>19</v>
      </c>
      <c r="I295" s="7" t="s">
        <v>20</v>
      </c>
      <c r="J295" s="7" t="str">
        <f>INDEX(Restaurants!$B$2:$B$23,MATCH(I295,Restaurants!$A$2:$A$23,0))</f>
        <v>Sea Breeze Grill</v>
      </c>
      <c r="K295" s="7" t="str">
        <f>INDEX(Restaurants!$D$2:$D$23,MATCH(I295,Restaurants!$A$2:$A$23,0))</f>
        <v>Seafood</v>
      </c>
    </row>
    <row r="296" spans="1:11" ht="15" customHeight="1" x14ac:dyDescent="0.3">
      <c r="A296" s="7" t="s">
        <v>420</v>
      </c>
      <c r="B296" s="7" t="s">
        <v>22</v>
      </c>
      <c r="C296" s="8">
        <v>46109</v>
      </c>
      <c r="D296" s="7" t="s">
        <v>16</v>
      </c>
      <c r="E296" s="9">
        <v>312.57</v>
      </c>
      <c r="F296" s="7" t="s">
        <v>23</v>
      </c>
      <c r="G296" s="7" t="s">
        <v>24</v>
      </c>
      <c r="H296" s="7" t="s">
        <v>25</v>
      </c>
      <c r="I296" s="7" t="s">
        <v>26</v>
      </c>
      <c r="J296" s="7" t="str">
        <f>INDEX(Restaurants!$B$2:$B$23,MATCH(I296,Restaurants!$A$2:$A$23,0))</f>
        <v>Nizam's Table</v>
      </c>
      <c r="K296" s="7" t="str">
        <f>INDEX(Restaurants!$D$2:$D$23,MATCH(I296,Restaurants!$A$2:$A$23,0))</f>
        <v>Mughlai</v>
      </c>
    </row>
    <row r="297" spans="1:11" ht="15" customHeight="1" x14ac:dyDescent="0.3">
      <c r="A297" s="7" t="s">
        <v>421</v>
      </c>
      <c r="B297" s="7" t="s">
        <v>15</v>
      </c>
      <c r="C297" s="8">
        <v>46109</v>
      </c>
      <c r="D297" s="7" t="s">
        <v>45</v>
      </c>
      <c r="E297" s="9">
        <v>533.37</v>
      </c>
      <c r="F297" s="7" t="s">
        <v>46</v>
      </c>
      <c r="G297" s="7" t="s">
        <v>47</v>
      </c>
      <c r="H297" s="7" t="s">
        <v>48</v>
      </c>
      <c r="I297" s="7" t="s">
        <v>49</v>
      </c>
      <c r="J297" s="7" t="str">
        <f>INDEX(Restaurants!$B$2:$B$23,MATCH(I297,Restaurants!$A$2:$A$23,0))</f>
        <v>Bombay Bites</v>
      </c>
      <c r="K297" s="7" t="str">
        <f>INDEX(Restaurants!$D$2:$D$23,MATCH(I297,Restaurants!$A$2:$A$23,0))</f>
        <v>Street Food</v>
      </c>
    </row>
    <row r="298" spans="1:11" ht="15" customHeight="1" x14ac:dyDescent="0.3">
      <c r="A298" s="7" t="s">
        <v>422</v>
      </c>
      <c r="B298" s="7" t="s">
        <v>91</v>
      </c>
      <c r="C298" s="8">
        <v>46110</v>
      </c>
      <c r="D298" s="7" t="s">
        <v>16</v>
      </c>
      <c r="E298" s="9">
        <v>993.83</v>
      </c>
      <c r="F298" s="7" t="s">
        <v>92</v>
      </c>
      <c r="G298" s="7" t="s">
        <v>93</v>
      </c>
      <c r="H298" s="7" t="s">
        <v>94</v>
      </c>
      <c r="I298" s="7" t="s">
        <v>95</v>
      </c>
      <c r="J298" s="7" t="str">
        <f>INDEX(Restaurants!$B$2:$B$23,MATCH(I298,Restaurants!$A$2:$A$23,0))</f>
        <v>Royal Thali Palace</v>
      </c>
      <c r="K298" s="7" t="str">
        <f>INDEX(Restaurants!$D$2:$D$23,MATCH(I298,Restaurants!$A$2:$A$23,0))</f>
        <v>Rajasthani</v>
      </c>
    </row>
    <row r="299" spans="1:11" ht="15" customHeight="1" x14ac:dyDescent="0.3">
      <c r="A299" s="7" t="s">
        <v>423</v>
      </c>
      <c r="B299" s="7" t="s">
        <v>70</v>
      </c>
      <c r="C299" s="8">
        <v>46110</v>
      </c>
      <c r="D299" s="7" t="s">
        <v>16</v>
      </c>
      <c r="E299" s="9">
        <v>1171.1300000000001</v>
      </c>
      <c r="F299" s="7" t="s">
        <v>111</v>
      </c>
      <c r="G299" s="7" t="s">
        <v>112</v>
      </c>
      <c r="H299" s="7" t="s">
        <v>113</v>
      </c>
      <c r="I299" s="7" t="s">
        <v>114</v>
      </c>
      <c r="J299" s="7" t="str">
        <f>INDEX(Restaurants!$B$2:$B$23,MATCH(I299,Restaurants!$A$2:$A$23,0))</f>
        <v>Marina Meals</v>
      </c>
      <c r="K299" s="7" t="str">
        <f>INDEX(Restaurants!$D$2:$D$23,MATCH(I299,Restaurants!$A$2:$A$23,0))</f>
        <v>South Indian</v>
      </c>
    </row>
    <row r="300" spans="1:11" ht="15" customHeight="1" x14ac:dyDescent="0.3">
      <c r="A300" s="7" t="s">
        <v>424</v>
      </c>
      <c r="B300" s="7" t="s">
        <v>121</v>
      </c>
      <c r="C300" s="8">
        <v>46110</v>
      </c>
      <c r="D300" s="7" t="s">
        <v>16</v>
      </c>
      <c r="E300" s="9">
        <v>721.26</v>
      </c>
      <c r="F300" s="7" t="s">
        <v>143</v>
      </c>
      <c r="G300" s="7" t="s">
        <v>144</v>
      </c>
      <c r="H300" s="7" t="s">
        <v>145</v>
      </c>
      <c r="I300" s="7" t="s">
        <v>125</v>
      </c>
      <c r="J300" s="7" t="str">
        <f>INDEX(Restaurants!$B$2:$B$23,MATCH(I300,Restaurants!$A$2:$A$23,0))</f>
        <v>Karim's Kitchen</v>
      </c>
      <c r="K300" s="7" t="str">
        <f>INDEX(Restaurants!$D$2:$D$23,MATCH(I300,Restaurants!$A$2:$A$23,0))</f>
        <v>Mughlai</v>
      </c>
    </row>
    <row r="301" spans="1:11" ht="15" customHeight="1" x14ac:dyDescent="0.3">
      <c r="A301" s="7" t="s">
        <v>425</v>
      </c>
      <c r="B301" s="7" t="s">
        <v>28</v>
      </c>
      <c r="C301" s="8">
        <v>46112</v>
      </c>
      <c r="D301" s="7" t="s">
        <v>16</v>
      </c>
      <c r="E301" s="9">
        <v>1019.21</v>
      </c>
      <c r="F301" s="7" t="s">
        <v>29</v>
      </c>
      <c r="G301" s="7" t="s">
        <v>30</v>
      </c>
      <c r="H301" s="7" t="s">
        <v>31</v>
      </c>
      <c r="I301" s="7" t="s">
        <v>32</v>
      </c>
      <c r="J301" s="7" t="str">
        <f>INDEX(Restaurants!$B$2:$B$23,MATCH(I301,Restaurants!$A$2:$A$23,0))</f>
        <v>Gujarat Thali Home</v>
      </c>
      <c r="K301" s="7" t="str">
        <f>INDEX(Restaurants!$D$2:$D$23,MATCH(I301,Restaurants!$A$2:$A$23,0))</f>
        <v>Gujarati</v>
      </c>
    </row>
  </sheetData>
  <autoFilter ref="A1:K3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style="5" customWidth="1"/>
    <col min="2" max="2" width="17" style="5" customWidth="1"/>
    <col min="3" max="3" width="13" style="5" customWidth="1"/>
    <col min="4" max="4" width="12" style="5" customWidth="1"/>
  </cols>
  <sheetData>
    <row r="1" spans="1:4" ht="15" customHeight="1" x14ac:dyDescent="0.3">
      <c r="A1" s="6" t="s">
        <v>10</v>
      </c>
      <c r="B1" s="6" t="s">
        <v>8</v>
      </c>
      <c r="C1" s="6" t="s">
        <v>9</v>
      </c>
      <c r="D1" s="6" t="s">
        <v>4</v>
      </c>
    </row>
    <row r="2" spans="1:4" ht="15" customHeight="1" x14ac:dyDescent="0.3">
      <c r="A2" s="7" t="s">
        <v>145</v>
      </c>
      <c r="B2" s="7" t="s">
        <v>143</v>
      </c>
      <c r="C2" s="7" t="s">
        <v>144</v>
      </c>
      <c r="D2" s="7" t="s">
        <v>121</v>
      </c>
    </row>
    <row r="3" spans="1:4" ht="15" customHeight="1" x14ac:dyDescent="0.3">
      <c r="A3" s="7" t="s">
        <v>48</v>
      </c>
      <c r="B3" s="7" t="s">
        <v>46</v>
      </c>
      <c r="C3" s="7" t="s">
        <v>47</v>
      </c>
      <c r="D3" s="7" t="s">
        <v>15</v>
      </c>
    </row>
    <row r="4" spans="1:4" ht="15" customHeight="1" x14ac:dyDescent="0.3">
      <c r="A4" s="7" t="s">
        <v>38</v>
      </c>
      <c r="B4" s="7" t="s">
        <v>36</v>
      </c>
      <c r="C4" s="7" t="s">
        <v>37</v>
      </c>
      <c r="D4" s="7" t="s">
        <v>34</v>
      </c>
    </row>
    <row r="5" spans="1:4" ht="15" customHeight="1" x14ac:dyDescent="0.3">
      <c r="A5" s="7" t="s">
        <v>84</v>
      </c>
      <c r="B5" s="7" t="s">
        <v>82</v>
      </c>
      <c r="C5" s="7" t="s">
        <v>83</v>
      </c>
      <c r="D5" s="7" t="s">
        <v>63</v>
      </c>
    </row>
    <row r="6" spans="1:4" ht="15" customHeight="1" x14ac:dyDescent="0.3">
      <c r="A6" s="7" t="s">
        <v>43</v>
      </c>
      <c r="B6" s="7" t="s">
        <v>41</v>
      </c>
      <c r="C6" s="7" t="s">
        <v>42</v>
      </c>
      <c r="D6" s="7" t="s">
        <v>22</v>
      </c>
    </row>
    <row r="7" spans="1:4" ht="15" customHeight="1" x14ac:dyDescent="0.3">
      <c r="A7" s="7" t="s">
        <v>31</v>
      </c>
      <c r="B7" s="7" t="s">
        <v>29</v>
      </c>
      <c r="C7" s="7" t="s">
        <v>30</v>
      </c>
      <c r="D7" s="7" t="s">
        <v>28</v>
      </c>
    </row>
    <row r="8" spans="1:4" ht="15" customHeight="1" x14ac:dyDescent="0.3">
      <c r="A8" s="7" t="s">
        <v>113</v>
      </c>
      <c r="B8" s="7" t="s">
        <v>111</v>
      </c>
      <c r="C8" s="7" t="s">
        <v>112</v>
      </c>
      <c r="D8" s="7" t="s">
        <v>70</v>
      </c>
    </row>
    <row r="9" spans="1:4" ht="15" customHeight="1" x14ac:dyDescent="0.3">
      <c r="A9" s="7" t="s">
        <v>60</v>
      </c>
      <c r="B9" s="7" t="s">
        <v>58</v>
      </c>
      <c r="C9" s="7" t="s">
        <v>59</v>
      </c>
      <c r="D9" s="7" t="s">
        <v>57</v>
      </c>
    </row>
    <row r="10" spans="1:4" ht="15" customHeight="1" x14ac:dyDescent="0.3">
      <c r="A10" s="7" t="s">
        <v>94</v>
      </c>
      <c r="B10" s="7" t="s">
        <v>92</v>
      </c>
      <c r="C10" s="7" t="s">
        <v>93</v>
      </c>
      <c r="D10" s="7" t="s">
        <v>91</v>
      </c>
    </row>
    <row r="11" spans="1:4" ht="15" customHeight="1" x14ac:dyDescent="0.3">
      <c r="A11" s="7" t="s">
        <v>136</v>
      </c>
      <c r="B11" s="7" t="s">
        <v>134</v>
      </c>
      <c r="C11" s="7" t="s">
        <v>135</v>
      </c>
      <c r="D11" s="7" t="s">
        <v>51</v>
      </c>
    </row>
    <row r="12" spans="1:4" ht="15" customHeight="1" x14ac:dyDescent="0.3">
      <c r="A12" s="7" t="s">
        <v>124</v>
      </c>
      <c r="B12" s="7" t="s">
        <v>122</v>
      </c>
      <c r="C12" s="7" t="s">
        <v>123</v>
      </c>
      <c r="D12" s="7" t="s">
        <v>121</v>
      </c>
    </row>
    <row r="13" spans="1:4" ht="15" customHeight="1" x14ac:dyDescent="0.3">
      <c r="A13" s="7" t="s">
        <v>19</v>
      </c>
      <c r="B13" s="7" t="s">
        <v>17</v>
      </c>
      <c r="C13" s="7" t="s">
        <v>18</v>
      </c>
      <c r="D13" s="7" t="s">
        <v>15</v>
      </c>
    </row>
    <row r="14" spans="1:4" ht="15" customHeight="1" x14ac:dyDescent="0.3">
      <c r="A14" s="7" t="s">
        <v>107</v>
      </c>
      <c r="B14" s="7" t="s">
        <v>105</v>
      </c>
      <c r="C14" s="7" t="s">
        <v>106</v>
      </c>
      <c r="D14" s="7" t="s">
        <v>34</v>
      </c>
    </row>
    <row r="15" spans="1:4" ht="15" customHeight="1" x14ac:dyDescent="0.3">
      <c r="A15" s="7" t="s">
        <v>67</v>
      </c>
      <c r="B15" s="7" t="s">
        <v>65</v>
      </c>
      <c r="C15" s="7" t="s">
        <v>66</v>
      </c>
      <c r="D15" s="7" t="s">
        <v>63</v>
      </c>
    </row>
    <row r="16" spans="1:4" ht="15" customHeight="1" x14ac:dyDescent="0.3">
      <c r="A16" s="7" t="s">
        <v>25</v>
      </c>
      <c r="B16" s="7" t="s">
        <v>23</v>
      </c>
      <c r="C16" s="7" t="s">
        <v>24</v>
      </c>
      <c r="D16" s="7" t="s">
        <v>22</v>
      </c>
    </row>
    <row r="17" spans="1:4" ht="15" customHeight="1" x14ac:dyDescent="0.3">
      <c r="A17" s="7" t="s">
        <v>73</v>
      </c>
      <c r="B17" s="7" t="s">
        <v>71</v>
      </c>
      <c r="C17" s="7" t="s">
        <v>72</v>
      </c>
      <c r="D17" s="7" t="s">
        <v>70</v>
      </c>
    </row>
    <row r="18" spans="1:4" ht="15" customHeight="1" x14ac:dyDescent="0.3">
      <c r="A18" s="7" t="s">
        <v>79</v>
      </c>
      <c r="B18" s="7" t="s">
        <v>77</v>
      </c>
      <c r="C18" s="7" t="s">
        <v>78</v>
      </c>
      <c r="D18" s="7" t="s">
        <v>76</v>
      </c>
    </row>
    <row r="19" spans="1:4" ht="15" customHeight="1" x14ac:dyDescent="0.3">
      <c r="A19" s="7" t="s">
        <v>119</v>
      </c>
      <c r="B19" s="7" t="s">
        <v>117</v>
      </c>
      <c r="C19" s="7" t="s">
        <v>118</v>
      </c>
      <c r="D19" s="7" t="s">
        <v>76</v>
      </c>
    </row>
    <row r="20" spans="1:4" ht="15" customHeight="1" x14ac:dyDescent="0.3">
      <c r="A20" s="7" t="s">
        <v>158</v>
      </c>
      <c r="B20" s="7" t="s">
        <v>156</v>
      </c>
      <c r="C20" s="7" t="s">
        <v>157</v>
      </c>
      <c r="D20" s="7" t="s">
        <v>91</v>
      </c>
    </row>
    <row r="21" spans="1:4" ht="15" customHeight="1" x14ac:dyDescent="0.3">
      <c r="A21" s="7" t="s">
        <v>170</v>
      </c>
      <c r="B21" s="7" t="s">
        <v>168</v>
      </c>
      <c r="C21" s="7" t="s">
        <v>169</v>
      </c>
      <c r="D21" s="7" t="s">
        <v>28</v>
      </c>
    </row>
    <row r="22" spans="1:4" ht="15" customHeight="1" x14ac:dyDescent="0.3">
      <c r="A22" s="7" t="s">
        <v>175</v>
      </c>
      <c r="B22" s="7" t="s">
        <v>173</v>
      </c>
      <c r="C22" s="7" t="s">
        <v>174</v>
      </c>
      <c r="D22" s="7" t="s">
        <v>121</v>
      </c>
    </row>
    <row r="23" spans="1:4" ht="15" customHeight="1" x14ac:dyDescent="0.3">
      <c r="A23" s="7" t="s">
        <v>89</v>
      </c>
      <c r="B23" s="7" t="s">
        <v>87</v>
      </c>
      <c r="C23" s="7" t="s">
        <v>88</v>
      </c>
      <c r="D23" s="7" t="s">
        <v>15</v>
      </c>
    </row>
    <row r="24" spans="1:4" ht="15" customHeight="1" x14ac:dyDescent="0.3">
      <c r="A24" s="7" t="s">
        <v>102</v>
      </c>
      <c r="B24" s="7" t="s">
        <v>100</v>
      </c>
      <c r="C24" s="7" t="s">
        <v>101</v>
      </c>
      <c r="D24" s="7" t="s">
        <v>34</v>
      </c>
    </row>
    <row r="25" spans="1:4" ht="15" customHeight="1" x14ac:dyDescent="0.3">
      <c r="A25" s="7" t="s">
        <v>152</v>
      </c>
      <c r="B25" s="7" t="s">
        <v>150</v>
      </c>
      <c r="C25" s="7" t="s">
        <v>151</v>
      </c>
      <c r="D25" s="7" t="s">
        <v>63</v>
      </c>
    </row>
    <row r="26" spans="1:4" ht="15" customHeight="1" x14ac:dyDescent="0.3">
      <c r="A26" s="7" t="s">
        <v>54</v>
      </c>
      <c r="B26" s="7" t="s">
        <v>52</v>
      </c>
      <c r="C26" s="7" t="s">
        <v>53</v>
      </c>
      <c r="D26" s="7" t="s">
        <v>51</v>
      </c>
    </row>
  </sheetData>
  <autoFilter ref="A1:D2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style="5" customWidth="1"/>
    <col min="2" max="2" width="27" style="5" customWidth="1"/>
    <col min="3" max="3" width="12" style="5" customWidth="1"/>
    <col min="4" max="4" width="16" style="5" customWidth="1"/>
    <col min="5" max="5" width="9" style="5" customWidth="1"/>
    <col min="6" max="6" width="16" style="5" customWidth="1"/>
  </cols>
  <sheetData>
    <row r="1" spans="1:6" ht="15" customHeight="1" x14ac:dyDescent="0.3">
      <c r="A1" s="6" t="s">
        <v>11</v>
      </c>
      <c r="B1" s="6" t="s">
        <v>12</v>
      </c>
      <c r="C1" s="6" t="s">
        <v>4</v>
      </c>
      <c r="D1" s="6" t="s">
        <v>13</v>
      </c>
      <c r="E1" s="6" t="s">
        <v>426</v>
      </c>
      <c r="F1" s="6" t="s">
        <v>427</v>
      </c>
    </row>
    <row r="2" spans="1:6" ht="15" customHeight="1" x14ac:dyDescent="0.3">
      <c r="A2" s="7" t="s">
        <v>146</v>
      </c>
      <c r="B2" s="7" t="s">
        <v>428</v>
      </c>
      <c r="C2" s="7" t="s">
        <v>121</v>
      </c>
      <c r="D2" s="7" t="s">
        <v>429</v>
      </c>
      <c r="E2" s="7">
        <v>3.9</v>
      </c>
      <c r="F2" s="7" t="s">
        <v>430</v>
      </c>
    </row>
    <row r="3" spans="1:6" ht="15" customHeight="1" x14ac:dyDescent="0.3">
      <c r="A3" s="7" t="s">
        <v>125</v>
      </c>
      <c r="B3" s="7" t="s">
        <v>431</v>
      </c>
      <c r="C3" s="7" t="s">
        <v>121</v>
      </c>
      <c r="D3" s="7" t="s">
        <v>432</v>
      </c>
      <c r="E3" s="7">
        <v>3.7</v>
      </c>
      <c r="F3" s="7" t="s">
        <v>433</v>
      </c>
    </row>
    <row r="4" spans="1:6" ht="15" customHeight="1" x14ac:dyDescent="0.3">
      <c r="A4" s="7" t="s">
        <v>49</v>
      </c>
      <c r="B4" s="7" t="s">
        <v>434</v>
      </c>
      <c r="C4" s="7" t="s">
        <v>15</v>
      </c>
      <c r="D4" s="7" t="s">
        <v>435</v>
      </c>
      <c r="E4" s="7">
        <v>4.3</v>
      </c>
      <c r="F4" s="7" t="s">
        <v>436</v>
      </c>
    </row>
    <row r="5" spans="1:6" ht="15" customHeight="1" x14ac:dyDescent="0.3">
      <c r="A5" s="7" t="s">
        <v>20</v>
      </c>
      <c r="B5" s="7" t="s">
        <v>437</v>
      </c>
      <c r="C5" s="7" t="s">
        <v>15</v>
      </c>
      <c r="D5" s="7" t="s">
        <v>438</v>
      </c>
      <c r="E5" s="7">
        <v>3.6</v>
      </c>
      <c r="F5" s="7" t="s">
        <v>439</v>
      </c>
    </row>
    <row r="6" spans="1:6" ht="15" customHeight="1" x14ac:dyDescent="0.3">
      <c r="A6" s="7" t="s">
        <v>103</v>
      </c>
      <c r="B6" s="7" t="s">
        <v>440</v>
      </c>
      <c r="C6" s="7" t="s">
        <v>34</v>
      </c>
      <c r="D6" s="7" t="s">
        <v>441</v>
      </c>
      <c r="E6" s="7">
        <v>4.2</v>
      </c>
      <c r="F6" s="7" t="s">
        <v>442</v>
      </c>
    </row>
    <row r="7" spans="1:6" ht="15" customHeight="1" x14ac:dyDescent="0.3">
      <c r="A7" s="7" t="s">
        <v>39</v>
      </c>
      <c r="B7" s="7" t="s">
        <v>443</v>
      </c>
      <c r="C7" s="7" t="s">
        <v>34</v>
      </c>
      <c r="D7" s="7" t="s">
        <v>444</v>
      </c>
      <c r="E7" s="7">
        <v>4</v>
      </c>
      <c r="F7" s="7" t="s">
        <v>445</v>
      </c>
    </row>
    <row r="8" spans="1:6" ht="15" customHeight="1" x14ac:dyDescent="0.3">
      <c r="A8" s="7" t="s">
        <v>68</v>
      </c>
      <c r="B8" s="7" t="s">
        <v>446</v>
      </c>
      <c r="C8" s="7" t="s">
        <v>63</v>
      </c>
      <c r="D8" s="7" t="s">
        <v>447</v>
      </c>
      <c r="E8" s="7">
        <v>3.6</v>
      </c>
      <c r="F8" s="7" t="s">
        <v>448</v>
      </c>
    </row>
    <row r="9" spans="1:6" ht="15" customHeight="1" x14ac:dyDescent="0.3">
      <c r="A9" s="7" t="s">
        <v>85</v>
      </c>
      <c r="B9" s="7" t="s">
        <v>449</v>
      </c>
      <c r="C9" s="7" t="s">
        <v>63</v>
      </c>
      <c r="D9" s="7" t="s">
        <v>450</v>
      </c>
      <c r="E9" s="7">
        <v>4.2</v>
      </c>
      <c r="F9" s="7" t="s">
        <v>451</v>
      </c>
    </row>
    <row r="10" spans="1:6" ht="15" customHeight="1" x14ac:dyDescent="0.3">
      <c r="A10" s="7" t="s">
        <v>98</v>
      </c>
      <c r="B10" s="7" t="s">
        <v>452</v>
      </c>
      <c r="C10" s="7" t="s">
        <v>22</v>
      </c>
      <c r="D10" s="7" t="s">
        <v>453</v>
      </c>
      <c r="E10" s="7">
        <v>3.5</v>
      </c>
      <c r="F10" s="7" t="s">
        <v>454</v>
      </c>
    </row>
    <row r="11" spans="1:6" ht="15" customHeight="1" x14ac:dyDescent="0.3">
      <c r="A11" s="7" t="s">
        <v>26</v>
      </c>
      <c r="B11" s="7" t="s">
        <v>455</v>
      </c>
      <c r="C11" s="7" t="s">
        <v>22</v>
      </c>
      <c r="D11" s="7" t="s">
        <v>432</v>
      </c>
      <c r="E11" s="7">
        <v>4.0999999999999996</v>
      </c>
      <c r="F11" s="7" t="s">
        <v>456</v>
      </c>
    </row>
    <row r="12" spans="1:6" ht="15" customHeight="1" x14ac:dyDescent="0.3">
      <c r="A12" s="7" t="s">
        <v>32</v>
      </c>
      <c r="B12" s="7" t="s">
        <v>457</v>
      </c>
      <c r="C12" s="7" t="s">
        <v>28</v>
      </c>
      <c r="D12" s="7" t="s">
        <v>458</v>
      </c>
      <c r="E12" s="7">
        <v>3.6</v>
      </c>
      <c r="F12" s="7" t="s">
        <v>459</v>
      </c>
    </row>
    <row r="13" spans="1:6" ht="15" customHeight="1" x14ac:dyDescent="0.3">
      <c r="A13" s="7" t="s">
        <v>171</v>
      </c>
      <c r="B13" s="7" t="s">
        <v>460</v>
      </c>
      <c r="C13" s="7" t="s">
        <v>28</v>
      </c>
      <c r="D13" s="7" t="s">
        <v>435</v>
      </c>
      <c r="E13" s="7">
        <v>3.6</v>
      </c>
      <c r="F13" s="7" t="s">
        <v>461</v>
      </c>
    </row>
    <row r="14" spans="1:6" ht="15" customHeight="1" x14ac:dyDescent="0.3">
      <c r="A14" s="7" t="s">
        <v>114</v>
      </c>
      <c r="B14" s="7" t="s">
        <v>462</v>
      </c>
      <c r="C14" s="7" t="s">
        <v>70</v>
      </c>
      <c r="D14" s="7" t="s">
        <v>441</v>
      </c>
      <c r="E14" s="7">
        <v>4.0999999999999996</v>
      </c>
      <c r="F14" s="7" t="s">
        <v>463</v>
      </c>
    </row>
    <row r="15" spans="1:6" ht="15" customHeight="1" x14ac:dyDescent="0.3">
      <c r="A15" s="7" t="s">
        <v>74</v>
      </c>
      <c r="B15" s="7" t="s">
        <v>464</v>
      </c>
      <c r="C15" s="7" t="s">
        <v>70</v>
      </c>
      <c r="D15" s="7" t="s">
        <v>465</v>
      </c>
      <c r="E15" s="7">
        <v>4.5999999999999996</v>
      </c>
      <c r="F15" s="7" t="s">
        <v>466</v>
      </c>
    </row>
    <row r="16" spans="1:6" ht="15" customHeight="1" x14ac:dyDescent="0.3">
      <c r="A16" s="7" t="s">
        <v>154</v>
      </c>
      <c r="B16" s="7" t="s">
        <v>467</v>
      </c>
      <c r="C16" s="7" t="s">
        <v>57</v>
      </c>
      <c r="D16" s="7" t="s">
        <v>468</v>
      </c>
      <c r="E16" s="7">
        <v>3.7</v>
      </c>
      <c r="F16" s="7" t="s">
        <v>469</v>
      </c>
    </row>
    <row r="17" spans="1:6" ht="15" customHeight="1" x14ac:dyDescent="0.3">
      <c r="A17" s="7" t="s">
        <v>61</v>
      </c>
      <c r="B17" s="7" t="s">
        <v>470</v>
      </c>
      <c r="C17" s="7" t="s">
        <v>57</v>
      </c>
      <c r="D17" s="7" t="s">
        <v>438</v>
      </c>
      <c r="E17" s="7">
        <v>3.8</v>
      </c>
      <c r="F17" s="7" t="s">
        <v>471</v>
      </c>
    </row>
    <row r="18" spans="1:6" ht="15" customHeight="1" x14ac:dyDescent="0.3">
      <c r="A18" s="7" t="s">
        <v>130</v>
      </c>
      <c r="B18" s="7" t="s">
        <v>472</v>
      </c>
      <c r="C18" s="7" t="s">
        <v>91</v>
      </c>
      <c r="D18" s="7" t="s">
        <v>473</v>
      </c>
      <c r="E18" s="7">
        <v>4.3</v>
      </c>
      <c r="F18" s="7" t="s">
        <v>474</v>
      </c>
    </row>
    <row r="19" spans="1:6" ht="15" customHeight="1" x14ac:dyDescent="0.3">
      <c r="A19" s="7" t="s">
        <v>95</v>
      </c>
      <c r="B19" s="7" t="s">
        <v>475</v>
      </c>
      <c r="C19" s="7" t="s">
        <v>91</v>
      </c>
      <c r="D19" s="7" t="s">
        <v>473</v>
      </c>
      <c r="E19" s="7">
        <v>4.7</v>
      </c>
      <c r="F19" s="7" t="s">
        <v>476</v>
      </c>
    </row>
    <row r="20" spans="1:6" ht="15" customHeight="1" x14ac:dyDescent="0.3">
      <c r="A20" s="7" t="s">
        <v>55</v>
      </c>
      <c r="B20" s="7" t="s">
        <v>477</v>
      </c>
      <c r="C20" s="7" t="s">
        <v>51</v>
      </c>
      <c r="D20" s="7" t="s">
        <v>478</v>
      </c>
      <c r="E20" s="7">
        <v>4.3</v>
      </c>
      <c r="F20" s="7" t="s">
        <v>479</v>
      </c>
    </row>
    <row r="21" spans="1:6" ht="15" customHeight="1" x14ac:dyDescent="0.3">
      <c r="A21" s="7" t="s">
        <v>137</v>
      </c>
      <c r="B21" s="7" t="s">
        <v>480</v>
      </c>
      <c r="C21" s="7" t="s">
        <v>51</v>
      </c>
      <c r="D21" s="7" t="s">
        <v>432</v>
      </c>
      <c r="E21" s="7">
        <v>4</v>
      </c>
      <c r="F21" s="7" t="s">
        <v>481</v>
      </c>
    </row>
    <row r="22" spans="1:6" ht="15" customHeight="1" x14ac:dyDescent="0.3">
      <c r="A22" s="7" t="s">
        <v>80</v>
      </c>
      <c r="B22" s="7" t="s">
        <v>482</v>
      </c>
      <c r="C22" s="7" t="s">
        <v>76</v>
      </c>
      <c r="D22" s="7" t="s">
        <v>483</v>
      </c>
      <c r="E22" s="7">
        <v>4.8</v>
      </c>
      <c r="F22" s="7" t="s">
        <v>484</v>
      </c>
    </row>
    <row r="23" spans="1:6" ht="15" customHeight="1" x14ac:dyDescent="0.3">
      <c r="A23" s="7" t="s">
        <v>139</v>
      </c>
      <c r="B23" s="7" t="s">
        <v>485</v>
      </c>
      <c r="C23" s="7" t="s">
        <v>76</v>
      </c>
      <c r="D23" s="7" t="s">
        <v>450</v>
      </c>
      <c r="E23" s="7">
        <v>3.6</v>
      </c>
      <c r="F23" s="7" t="s">
        <v>486</v>
      </c>
    </row>
  </sheetData>
  <autoFilter ref="A1:F2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3"/>
  <sheetViews>
    <sheetView zoomScaleNormal="100" workbookViewId="0"/>
  </sheetViews>
  <sheetFormatPr defaultColWidth="8.6640625" defaultRowHeight="14.4" x14ac:dyDescent="0.3"/>
  <cols>
    <col min="1" max="1" width="34" customWidth="1"/>
    <col min="2" max="3" width="16" customWidth="1"/>
  </cols>
  <sheetData>
    <row r="1" spans="1:3" ht="17.399999999999999" x14ac:dyDescent="0.3">
      <c r="A1" s="10" t="s">
        <v>487</v>
      </c>
    </row>
    <row r="2" spans="1:3" x14ac:dyDescent="0.3">
      <c r="A2" s="6" t="s">
        <v>11</v>
      </c>
      <c r="B2" s="6" t="s">
        <v>12</v>
      </c>
      <c r="C2" s="6" t="s">
        <v>488</v>
      </c>
    </row>
    <row r="3" spans="1:3" x14ac:dyDescent="0.3">
      <c r="A3" s="11" t="str">
        <f>Restaurants!A2</f>
        <v>R001</v>
      </c>
      <c r="B3" s="11" t="str">
        <f>Restaurants!B2</f>
        <v>Delhi Darbar</v>
      </c>
      <c r="C3" s="12">
        <f>SUMIFS(Orders!$E$2:$E$301,Orders!$I$2:$I$301,A3,Orders!$D$2:$D$301,"Delivered")</f>
        <v>12567.689999999999</v>
      </c>
    </row>
    <row r="4" spans="1:3" x14ac:dyDescent="0.3">
      <c r="A4" s="11" t="str">
        <f>Restaurants!A3</f>
        <v>R002</v>
      </c>
      <c r="B4" s="11" t="str">
        <f>Restaurants!B3</f>
        <v>Karim's Kitchen</v>
      </c>
      <c r="C4" s="12">
        <f>SUMIFS(Orders!$E$2:$E$301,Orders!$I$2:$I$301,A4,Orders!$D$2:$D$301,"Delivered")</f>
        <v>13570</v>
      </c>
    </row>
    <row r="5" spans="1:3" x14ac:dyDescent="0.3">
      <c r="A5" s="11" t="str">
        <f>Restaurants!A4</f>
        <v>R003</v>
      </c>
      <c r="B5" s="11" t="str">
        <f>Restaurants!B4</f>
        <v>Bombay Bites</v>
      </c>
      <c r="C5" s="12">
        <f>SUMIFS(Orders!$E$2:$E$301,Orders!$I$2:$I$301,A5,Orders!$D$2:$D$301,"Delivered")</f>
        <v>18514.89</v>
      </c>
    </row>
    <row r="6" spans="1:3" x14ac:dyDescent="0.3">
      <c r="A6" s="11" t="str">
        <f>Restaurants!A5</f>
        <v>R004</v>
      </c>
      <c r="B6" s="11" t="str">
        <f>Restaurants!B5</f>
        <v>Sea Breeze Grill</v>
      </c>
      <c r="C6" s="12">
        <f>SUMIFS(Orders!$E$2:$E$301,Orders!$I$2:$I$301,A6,Orders!$D$2:$D$301,"Delivered")</f>
        <v>12520.899999999998</v>
      </c>
    </row>
    <row r="7" spans="1:3" x14ac:dyDescent="0.3">
      <c r="A7" s="11" t="str">
        <f>Restaurants!A6</f>
        <v>R005</v>
      </c>
      <c r="B7" s="11" t="str">
        <f>Restaurants!B6</f>
        <v>Namma Bangalore Cafe</v>
      </c>
      <c r="C7" s="12">
        <f>SUMIFS(Orders!$E$2:$E$301,Orders!$I$2:$I$301,A7,Orders!$D$2:$D$301,"Delivered")</f>
        <v>5720.3</v>
      </c>
    </row>
    <row r="8" spans="1:3" x14ac:dyDescent="0.3">
      <c r="A8" s="11" t="str">
        <f>Restaurants!A7</f>
        <v>R006</v>
      </c>
      <c r="B8" s="11" t="str">
        <f>Restaurants!B7</f>
        <v>Silicon Spice</v>
      </c>
      <c r="C8" s="12">
        <f>SUMIFS(Orders!$E$2:$E$301,Orders!$I$2:$I$301,A8,Orders!$D$2:$D$301,"Delivered")</f>
        <v>7635.869999999999</v>
      </c>
    </row>
    <row r="9" spans="1:3" x14ac:dyDescent="0.3">
      <c r="A9" s="11" t="str">
        <f>Restaurants!A8</f>
        <v>R007</v>
      </c>
      <c r="B9" s="11" t="str">
        <f>Restaurants!B8</f>
        <v>Puneri Misal House</v>
      </c>
      <c r="C9" s="12">
        <f>SUMIFS(Orders!$E$2:$E$301,Orders!$I$2:$I$301,A9,Orders!$D$2:$D$301,"Delivered")</f>
        <v>5039.07</v>
      </c>
    </row>
    <row r="10" spans="1:3" x14ac:dyDescent="0.3">
      <c r="A10" s="11" t="str">
        <f>Restaurants!A9</f>
        <v>R008</v>
      </c>
      <c r="B10" s="11" t="str">
        <f>Restaurants!B9</f>
        <v>Deccan Diner</v>
      </c>
      <c r="C10" s="12">
        <f>SUMIFS(Orders!$E$2:$E$301,Orders!$I$2:$I$301,A10,Orders!$D$2:$D$301,"Delivered")</f>
        <v>7012.13</v>
      </c>
    </row>
    <row r="11" spans="1:3" x14ac:dyDescent="0.3">
      <c r="A11" s="11" t="str">
        <f>Restaurants!A10</f>
        <v>R009</v>
      </c>
      <c r="B11" s="11" t="str">
        <f>Restaurants!B10</f>
        <v>Hyderabadi Biryani House</v>
      </c>
      <c r="C11" s="12">
        <f>SUMIFS(Orders!$E$2:$E$301,Orders!$I$2:$I$301,A11,Orders!$D$2:$D$301,"Delivered")</f>
        <v>3801.37</v>
      </c>
    </row>
    <row r="12" spans="1:3" x14ac:dyDescent="0.3">
      <c r="A12" s="11" t="str">
        <f>Restaurants!A11</f>
        <v>R010</v>
      </c>
      <c r="B12" s="11" t="str">
        <f>Restaurants!B11</f>
        <v>Nizam's Table</v>
      </c>
      <c r="C12" s="12">
        <f>SUMIFS(Orders!$E$2:$E$301,Orders!$I$2:$I$301,A12,Orders!$D$2:$D$301,"Delivered")</f>
        <v>5962.1399999999994</v>
      </c>
    </row>
    <row r="13" spans="1:3" x14ac:dyDescent="0.3">
      <c r="A13" s="11" t="str">
        <f>Restaurants!A12</f>
        <v>R011</v>
      </c>
      <c r="B13" s="11" t="str">
        <f>Restaurants!B12</f>
        <v>Gujarat Thali Home</v>
      </c>
      <c r="C13" s="12">
        <f>SUMIFS(Orders!$E$2:$E$301,Orders!$I$2:$I$301,A13,Orders!$D$2:$D$301,"Delivered")</f>
        <v>7884.63</v>
      </c>
    </row>
    <row r="14" spans="1:3" x14ac:dyDescent="0.3">
      <c r="A14" s="11" t="str">
        <f>Restaurants!A13</f>
        <v>R012</v>
      </c>
      <c r="B14" s="11" t="str">
        <f>Restaurants!B13</f>
        <v>Manek Chowk Bites</v>
      </c>
      <c r="C14" s="12">
        <f>SUMIFS(Orders!$E$2:$E$301,Orders!$I$2:$I$301,A14,Orders!$D$2:$D$301,"Delivered")</f>
        <v>4395.75</v>
      </c>
    </row>
    <row r="15" spans="1:3" x14ac:dyDescent="0.3">
      <c r="A15" s="11" t="str">
        <f>Restaurants!A14</f>
        <v>R013</v>
      </c>
      <c r="B15" s="11" t="str">
        <f>Restaurants!B14</f>
        <v>Marina Meals</v>
      </c>
      <c r="C15" s="12">
        <f>SUMIFS(Orders!$E$2:$E$301,Orders!$I$2:$I$301,A15,Orders!$D$2:$D$301,"Delivered")</f>
        <v>4897.1900000000005</v>
      </c>
    </row>
    <row r="16" spans="1:3" x14ac:dyDescent="0.3">
      <c r="A16" s="11" t="str">
        <f>Restaurants!A15</f>
        <v>R014</v>
      </c>
      <c r="B16" s="11" t="str">
        <f>Restaurants!B15</f>
        <v>Chettinad Corner</v>
      </c>
      <c r="C16" s="12">
        <f>SUMIFS(Orders!$E$2:$E$301,Orders!$I$2:$I$301,A16,Orders!$D$2:$D$301,"Delivered")</f>
        <v>5804.1200000000008</v>
      </c>
    </row>
    <row r="17" spans="1:3" x14ac:dyDescent="0.3">
      <c r="A17" s="11" t="str">
        <f>Restaurants!A16</f>
        <v>R015</v>
      </c>
      <c r="B17" s="11" t="str">
        <f>Restaurants!B16</f>
        <v>Kerala Backwater Kitchen</v>
      </c>
      <c r="C17" s="12">
        <f>SUMIFS(Orders!$E$2:$E$301,Orders!$I$2:$I$301,A17,Orders!$D$2:$D$301,"Delivered")</f>
        <v>4698.3999999999996</v>
      </c>
    </row>
    <row r="18" spans="1:3" x14ac:dyDescent="0.3">
      <c r="A18" s="11" t="str">
        <f>Restaurants!A17</f>
        <v>R016</v>
      </c>
      <c r="B18" s="11" t="str">
        <f>Restaurants!B17</f>
        <v>Fort Kochi Seafoods</v>
      </c>
      <c r="C18" s="12">
        <f>SUMIFS(Orders!$E$2:$E$301,Orders!$I$2:$I$301,A18,Orders!$D$2:$D$301,"Delivered")</f>
        <v>4468.33</v>
      </c>
    </row>
    <row r="19" spans="1:3" x14ac:dyDescent="0.3">
      <c r="A19" s="11" t="str">
        <f>Restaurants!A18</f>
        <v>R017</v>
      </c>
      <c r="B19" s="11" t="str">
        <f>Restaurants!B18</f>
        <v>Pink City Rasoi</v>
      </c>
      <c r="C19" s="12">
        <f>SUMIFS(Orders!$E$2:$E$301,Orders!$I$2:$I$301,A19,Orders!$D$2:$D$301,"Delivered")</f>
        <v>5851.4500000000007</v>
      </c>
    </row>
    <row r="20" spans="1:3" x14ac:dyDescent="0.3">
      <c r="A20" s="11" t="str">
        <f>Restaurants!A19</f>
        <v>R018</v>
      </c>
      <c r="B20" s="11" t="str">
        <f>Restaurants!B19</f>
        <v>Royal Thali Palace</v>
      </c>
      <c r="C20" s="12">
        <f>SUMIFS(Orders!$E$2:$E$301,Orders!$I$2:$I$301,A20,Orders!$D$2:$D$301,"Delivered")</f>
        <v>4639.46</v>
      </c>
    </row>
    <row r="21" spans="1:3" x14ac:dyDescent="0.3">
      <c r="A21" s="11" t="str">
        <f>Restaurants!A20</f>
        <v>R019</v>
      </c>
      <c r="B21" s="11" t="str">
        <f>Restaurants!B20</f>
        <v>Tunday Kababi Corner</v>
      </c>
      <c r="C21" s="12">
        <f>SUMIFS(Orders!$E$2:$E$301,Orders!$I$2:$I$301,A21,Orders!$D$2:$D$301,"Delivered")</f>
        <v>3122.1200000000003</v>
      </c>
    </row>
    <row r="22" spans="1:3" x14ac:dyDescent="0.3">
      <c r="A22" s="11" t="str">
        <f>Restaurants!A21</f>
        <v>R020</v>
      </c>
      <c r="B22" s="11" t="str">
        <f>Restaurants!B21</f>
        <v>Nawabi Nights</v>
      </c>
      <c r="C22" s="12">
        <f>SUMIFS(Orders!$E$2:$E$301,Orders!$I$2:$I$301,A22,Orders!$D$2:$D$301,"Delivered")</f>
        <v>4657.28</v>
      </c>
    </row>
    <row r="23" spans="1:3" x14ac:dyDescent="0.3">
      <c r="A23" s="11" t="str">
        <f>Restaurants!A22</f>
        <v>R021</v>
      </c>
      <c r="B23" s="11" t="str">
        <f>Restaurants!B22</f>
        <v>Bong Bhoj</v>
      </c>
      <c r="C23" s="12">
        <f>SUMIFS(Orders!$E$2:$E$301,Orders!$I$2:$I$301,A23,Orders!$D$2:$D$301,"Delivered")</f>
        <v>7180.4699999999993</v>
      </c>
    </row>
    <row r="24" spans="1:3" x14ac:dyDescent="0.3">
      <c r="A24" s="11" t="str">
        <f>Restaurants!A23</f>
        <v>R022</v>
      </c>
      <c r="B24" s="11" t="str">
        <f>Restaurants!B23</f>
        <v>Park Street Diner</v>
      </c>
      <c r="C24" s="12">
        <f>SUMIFS(Orders!$E$2:$E$301,Orders!$I$2:$I$301,A24,Orders!$D$2:$D$301,"Delivered")</f>
        <v>2369.21</v>
      </c>
    </row>
    <row r="25" spans="1:3" ht="17.399999999999999" x14ac:dyDescent="0.3">
      <c r="A25" s="10" t="s">
        <v>489</v>
      </c>
    </row>
    <row r="26" spans="1:3" x14ac:dyDescent="0.3">
      <c r="A26" s="6" t="s">
        <v>13</v>
      </c>
      <c r="B26" s="6" t="s">
        <v>488</v>
      </c>
    </row>
    <row r="27" spans="1:3" x14ac:dyDescent="0.3">
      <c r="A27" s="11" t="s">
        <v>429</v>
      </c>
      <c r="B27" s="12">
        <f>SUMIFS(Orders!$E$2:$E$301,Orders!$K$2:$K$301,A27,Orders!$D$2:$D$301,"Delivered")</f>
        <v>12567.689999999999</v>
      </c>
    </row>
    <row r="28" spans="1:3" x14ac:dyDescent="0.3">
      <c r="A28" s="11" t="s">
        <v>432</v>
      </c>
      <c r="B28" s="12">
        <f>SUMIFS(Orders!$E$2:$E$301,Orders!$K$2:$K$301,A28,Orders!$D$2:$D$301,"Delivered")</f>
        <v>24189.419999999995</v>
      </c>
    </row>
    <row r="29" spans="1:3" x14ac:dyDescent="0.3">
      <c r="A29" s="11" t="s">
        <v>435</v>
      </c>
      <c r="B29" s="12">
        <f>SUMIFS(Orders!$E$2:$E$301,Orders!$K$2:$K$301,A29,Orders!$D$2:$D$301,"Delivered")</f>
        <v>22910.639999999996</v>
      </c>
    </row>
    <row r="30" spans="1:3" x14ac:dyDescent="0.3">
      <c r="A30" s="11" t="s">
        <v>438</v>
      </c>
      <c r="B30" s="12">
        <f>SUMIFS(Orders!$E$2:$E$301,Orders!$K$2:$K$301,A30,Orders!$D$2:$D$301,"Delivered")</f>
        <v>16989.23</v>
      </c>
    </row>
    <row r="31" spans="1:3" x14ac:dyDescent="0.3">
      <c r="A31" s="11" t="s">
        <v>441</v>
      </c>
      <c r="B31" s="12">
        <f>SUMIFS(Orders!$E$2:$E$301,Orders!$K$2:$K$301,A31,Orders!$D$2:$D$301,"Delivered")</f>
        <v>10617.489999999998</v>
      </c>
    </row>
    <row r="32" spans="1:3" x14ac:dyDescent="0.3">
      <c r="A32" s="11" t="s">
        <v>444</v>
      </c>
      <c r="B32" s="12">
        <f>SUMIFS(Orders!$E$2:$E$301,Orders!$K$2:$K$301,A32,Orders!$D$2:$D$301,"Delivered")</f>
        <v>7635.869999999999</v>
      </c>
    </row>
    <row r="33" spans="1:2" x14ac:dyDescent="0.3">
      <c r="A33" s="11" t="s">
        <v>447</v>
      </c>
      <c r="B33" s="12">
        <f>SUMIFS(Orders!$E$2:$E$301,Orders!$K$2:$K$301,A33,Orders!$D$2:$D$301,"Delivered")</f>
        <v>5039.07</v>
      </c>
    </row>
    <row r="34" spans="1:2" x14ac:dyDescent="0.3">
      <c r="A34" s="11" t="s">
        <v>450</v>
      </c>
      <c r="B34" s="12">
        <f>SUMIFS(Orders!$E$2:$E$301,Orders!$K$2:$K$301,A34,Orders!$D$2:$D$301,"Delivered")</f>
        <v>9381.34</v>
      </c>
    </row>
    <row r="35" spans="1:2" x14ac:dyDescent="0.3">
      <c r="A35" s="11" t="s">
        <v>453</v>
      </c>
      <c r="B35" s="12">
        <f>SUMIFS(Orders!$E$2:$E$301,Orders!$K$2:$K$301,A35,Orders!$D$2:$D$301,"Delivered")</f>
        <v>3801.37</v>
      </c>
    </row>
    <row r="36" spans="1:2" x14ac:dyDescent="0.3">
      <c r="A36" s="11" t="s">
        <v>458</v>
      </c>
      <c r="B36" s="12">
        <f>SUMIFS(Orders!$E$2:$E$301,Orders!$K$2:$K$301,A36,Orders!$D$2:$D$301,"Delivered")</f>
        <v>7884.63</v>
      </c>
    </row>
    <row r="37" spans="1:2" x14ac:dyDescent="0.3">
      <c r="A37" s="11" t="s">
        <v>465</v>
      </c>
      <c r="B37" s="12">
        <f>SUMIFS(Orders!$E$2:$E$301,Orders!$K$2:$K$301,A37,Orders!$D$2:$D$301,"Delivered")</f>
        <v>5804.1200000000008</v>
      </c>
    </row>
    <row r="38" spans="1:2" x14ac:dyDescent="0.3">
      <c r="A38" s="11" t="s">
        <v>468</v>
      </c>
      <c r="B38" s="12">
        <f>SUMIFS(Orders!$E$2:$E$301,Orders!$K$2:$K$301,A38,Orders!$D$2:$D$301,"Delivered")</f>
        <v>4698.3999999999996</v>
      </c>
    </row>
    <row r="39" spans="1:2" x14ac:dyDescent="0.3">
      <c r="A39" s="11" t="s">
        <v>473</v>
      </c>
      <c r="B39" s="12">
        <f>SUMIFS(Orders!$E$2:$E$301,Orders!$K$2:$K$301,A39,Orders!$D$2:$D$301,"Delivered")</f>
        <v>10490.91</v>
      </c>
    </row>
    <row r="40" spans="1:2" x14ac:dyDescent="0.3">
      <c r="A40" s="11" t="s">
        <v>478</v>
      </c>
      <c r="B40" s="12">
        <f>SUMIFS(Orders!$E$2:$E$301,Orders!$K$2:$K$301,A40,Orders!$D$2:$D$301,"Delivered")</f>
        <v>3122.1200000000003</v>
      </c>
    </row>
    <row r="41" spans="1:2" x14ac:dyDescent="0.3">
      <c r="A41" s="11" t="s">
        <v>483</v>
      </c>
      <c r="B41" s="12">
        <f>SUMIFS(Orders!$E$2:$E$301,Orders!$K$2:$K$301,A41,Orders!$D$2:$D$301,"Delivered")</f>
        <v>7180.4699999999993</v>
      </c>
    </row>
    <row r="42" spans="1:2" ht="17.399999999999999" x14ac:dyDescent="0.3">
      <c r="A42" s="10" t="s">
        <v>490</v>
      </c>
    </row>
    <row r="43" spans="1:2" x14ac:dyDescent="0.3">
      <c r="A43" s="6" t="s">
        <v>5</v>
      </c>
      <c r="B43" s="6" t="s">
        <v>491</v>
      </c>
    </row>
    <row r="44" spans="1:2" x14ac:dyDescent="0.3">
      <c r="A44" s="13">
        <v>46023</v>
      </c>
      <c r="B44" s="11">
        <f>COUNTIF(Orders!$C$2:$C$301,A44)</f>
        <v>5</v>
      </c>
    </row>
    <row r="45" spans="1:2" x14ac:dyDescent="0.3">
      <c r="A45" s="13">
        <v>46024</v>
      </c>
      <c r="B45" s="11">
        <f>COUNTIF(Orders!$C$2:$C$301,A45)</f>
        <v>2</v>
      </c>
    </row>
    <row r="46" spans="1:2" x14ac:dyDescent="0.3">
      <c r="A46" s="13">
        <v>46025</v>
      </c>
      <c r="B46" s="11">
        <f>COUNTIF(Orders!$C$2:$C$301,A46)</f>
        <v>3</v>
      </c>
    </row>
    <row r="47" spans="1:2" x14ac:dyDescent="0.3">
      <c r="A47" s="13">
        <v>46026</v>
      </c>
      <c r="B47" s="11">
        <f>COUNTIF(Orders!$C$2:$C$301,A47)</f>
        <v>6</v>
      </c>
    </row>
    <row r="48" spans="1:2" x14ac:dyDescent="0.3">
      <c r="A48" s="13">
        <v>46027</v>
      </c>
      <c r="B48" s="11">
        <f>COUNTIF(Orders!$C$2:$C$301,A48)</f>
        <v>3</v>
      </c>
    </row>
    <row r="49" spans="1:2" x14ac:dyDescent="0.3">
      <c r="A49" s="13">
        <v>46028</v>
      </c>
      <c r="B49" s="11">
        <f>COUNTIF(Orders!$C$2:$C$301,A49)</f>
        <v>4</v>
      </c>
    </row>
    <row r="50" spans="1:2" x14ac:dyDescent="0.3">
      <c r="A50" s="13">
        <v>46029</v>
      </c>
      <c r="B50" s="11">
        <f>COUNTIF(Orders!$C$2:$C$301,A50)</f>
        <v>1</v>
      </c>
    </row>
    <row r="51" spans="1:2" x14ac:dyDescent="0.3">
      <c r="A51" s="13">
        <v>46030</v>
      </c>
      <c r="B51" s="11">
        <f>COUNTIF(Orders!$C$2:$C$301,A51)</f>
        <v>6</v>
      </c>
    </row>
    <row r="52" spans="1:2" x14ac:dyDescent="0.3">
      <c r="A52" s="13">
        <v>46031</v>
      </c>
      <c r="B52" s="11">
        <f>COUNTIF(Orders!$C$2:$C$301,A52)</f>
        <v>6</v>
      </c>
    </row>
    <row r="53" spans="1:2" x14ac:dyDescent="0.3">
      <c r="A53" s="13">
        <v>46032</v>
      </c>
      <c r="B53" s="11">
        <f>COUNTIF(Orders!$C$2:$C$301,A53)</f>
        <v>2</v>
      </c>
    </row>
    <row r="54" spans="1:2" x14ac:dyDescent="0.3">
      <c r="A54" s="13">
        <v>46033</v>
      </c>
      <c r="B54" s="11">
        <f>COUNTIF(Orders!$C$2:$C$301,A54)</f>
        <v>3</v>
      </c>
    </row>
    <row r="55" spans="1:2" x14ac:dyDescent="0.3">
      <c r="A55" s="13">
        <v>46034</v>
      </c>
      <c r="B55" s="11">
        <f>COUNTIF(Orders!$C$2:$C$301,A55)</f>
        <v>5</v>
      </c>
    </row>
    <row r="56" spans="1:2" x14ac:dyDescent="0.3">
      <c r="A56" s="13">
        <v>46035</v>
      </c>
      <c r="B56" s="11">
        <f>COUNTIF(Orders!$C$2:$C$301,A56)</f>
        <v>1</v>
      </c>
    </row>
    <row r="57" spans="1:2" x14ac:dyDescent="0.3">
      <c r="A57" s="13">
        <v>46037</v>
      </c>
      <c r="B57" s="11">
        <f>COUNTIF(Orders!$C$2:$C$301,A57)</f>
        <v>4</v>
      </c>
    </row>
    <row r="58" spans="1:2" x14ac:dyDescent="0.3">
      <c r="A58" s="13">
        <v>46038</v>
      </c>
      <c r="B58" s="11">
        <f>COUNTIF(Orders!$C$2:$C$301,A58)</f>
        <v>1</v>
      </c>
    </row>
    <row r="59" spans="1:2" x14ac:dyDescent="0.3">
      <c r="A59" s="13">
        <v>46039</v>
      </c>
      <c r="B59" s="11">
        <f>COUNTIF(Orders!$C$2:$C$301,A59)</f>
        <v>7</v>
      </c>
    </row>
    <row r="60" spans="1:2" x14ac:dyDescent="0.3">
      <c r="A60" s="13">
        <v>46040</v>
      </c>
      <c r="B60" s="11">
        <f>COUNTIF(Orders!$C$2:$C$301,A60)</f>
        <v>3</v>
      </c>
    </row>
    <row r="61" spans="1:2" x14ac:dyDescent="0.3">
      <c r="A61" s="13">
        <v>46041</v>
      </c>
      <c r="B61" s="11">
        <f>COUNTIF(Orders!$C$2:$C$301,A61)</f>
        <v>7</v>
      </c>
    </row>
    <row r="62" spans="1:2" x14ac:dyDescent="0.3">
      <c r="A62" s="13">
        <v>46042</v>
      </c>
      <c r="B62" s="11">
        <f>COUNTIF(Orders!$C$2:$C$301,A62)</f>
        <v>1</v>
      </c>
    </row>
    <row r="63" spans="1:2" x14ac:dyDescent="0.3">
      <c r="A63" s="13">
        <v>46043</v>
      </c>
      <c r="B63" s="11">
        <f>COUNTIF(Orders!$C$2:$C$301,A63)</f>
        <v>2</v>
      </c>
    </row>
    <row r="64" spans="1:2" x14ac:dyDescent="0.3">
      <c r="A64" s="13">
        <v>46044</v>
      </c>
      <c r="B64" s="11">
        <f>COUNTIF(Orders!$C$2:$C$301,A64)</f>
        <v>1</v>
      </c>
    </row>
    <row r="65" spans="1:2" x14ac:dyDescent="0.3">
      <c r="A65" s="13">
        <v>46045</v>
      </c>
      <c r="B65" s="11">
        <f>COUNTIF(Orders!$C$2:$C$301,A65)</f>
        <v>4</v>
      </c>
    </row>
    <row r="66" spans="1:2" x14ac:dyDescent="0.3">
      <c r="A66" s="13">
        <v>46046</v>
      </c>
      <c r="B66" s="11">
        <f>COUNTIF(Orders!$C$2:$C$301,A66)</f>
        <v>2</v>
      </c>
    </row>
    <row r="67" spans="1:2" x14ac:dyDescent="0.3">
      <c r="A67" s="13">
        <v>46047</v>
      </c>
      <c r="B67" s="11">
        <f>COUNTIF(Orders!$C$2:$C$301,A67)</f>
        <v>2</v>
      </c>
    </row>
    <row r="68" spans="1:2" x14ac:dyDescent="0.3">
      <c r="A68" s="13">
        <v>46048</v>
      </c>
      <c r="B68" s="11">
        <f>COUNTIF(Orders!$C$2:$C$301,A68)</f>
        <v>5</v>
      </c>
    </row>
    <row r="69" spans="1:2" x14ac:dyDescent="0.3">
      <c r="A69" s="13">
        <v>46050</v>
      </c>
      <c r="B69" s="11">
        <f>COUNTIF(Orders!$C$2:$C$301,A69)</f>
        <v>6</v>
      </c>
    </row>
    <row r="70" spans="1:2" x14ac:dyDescent="0.3">
      <c r="A70" s="13">
        <v>46051</v>
      </c>
      <c r="B70" s="11">
        <f>COUNTIF(Orders!$C$2:$C$301,A70)</f>
        <v>6</v>
      </c>
    </row>
    <row r="71" spans="1:2" x14ac:dyDescent="0.3">
      <c r="A71" s="13">
        <v>46052</v>
      </c>
      <c r="B71" s="11">
        <f>COUNTIF(Orders!$C$2:$C$301,A71)</f>
        <v>3</v>
      </c>
    </row>
    <row r="72" spans="1:2" x14ac:dyDescent="0.3">
      <c r="A72" s="13">
        <v>46053</v>
      </c>
      <c r="B72" s="11">
        <f>COUNTIF(Orders!$C$2:$C$301,A72)</f>
        <v>6</v>
      </c>
    </row>
    <row r="73" spans="1:2" x14ac:dyDescent="0.3">
      <c r="A73" s="13">
        <v>46054</v>
      </c>
      <c r="B73" s="11">
        <f>COUNTIF(Orders!$C$2:$C$301,A73)</f>
        <v>6</v>
      </c>
    </row>
    <row r="74" spans="1:2" x14ac:dyDescent="0.3">
      <c r="A74" s="13">
        <v>46055</v>
      </c>
      <c r="B74" s="11">
        <f>COUNTIF(Orders!$C$2:$C$301,A74)</f>
        <v>2</v>
      </c>
    </row>
    <row r="75" spans="1:2" x14ac:dyDescent="0.3">
      <c r="A75" s="13">
        <v>46056</v>
      </c>
      <c r="B75" s="11">
        <f>COUNTIF(Orders!$C$2:$C$301,A75)</f>
        <v>2</v>
      </c>
    </row>
    <row r="76" spans="1:2" x14ac:dyDescent="0.3">
      <c r="A76" s="13">
        <v>46057</v>
      </c>
      <c r="B76" s="11">
        <f>COUNTIF(Orders!$C$2:$C$301,A76)</f>
        <v>4</v>
      </c>
    </row>
    <row r="77" spans="1:2" x14ac:dyDescent="0.3">
      <c r="A77" s="13">
        <v>46058</v>
      </c>
      <c r="B77" s="11">
        <f>COUNTIF(Orders!$C$2:$C$301,A77)</f>
        <v>2</v>
      </c>
    </row>
    <row r="78" spans="1:2" x14ac:dyDescent="0.3">
      <c r="A78" s="13">
        <v>46059</v>
      </c>
      <c r="B78" s="11">
        <f>COUNTIF(Orders!$C$2:$C$301,A78)</f>
        <v>4</v>
      </c>
    </row>
    <row r="79" spans="1:2" x14ac:dyDescent="0.3">
      <c r="A79" s="13">
        <v>46060</v>
      </c>
      <c r="B79" s="11">
        <f>COUNTIF(Orders!$C$2:$C$301,A79)</f>
        <v>5</v>
      </c>
    </row>
    <row r="80" spans="1:2" x14ac:dyDescent="0.3">
      <c r="A80" s="13">
        <v>46061</v>
      </c>
      <c r="B80" s="11">
        <f>COUNTIF(Orders!$C$2:$C$301,A80)</f>
        <v>5</v>
      </c>
    </row>
    <row r="81" spans="1:2" x14ac:dyDescent="0.3">
      <c r="A81" s="13">
        <v>46062</v>
      </c>
      <c r="B81" s="11">
        <f>COUNTIF(Orders!$C$2:$C$301,A81)</f>
        <v>2</v>
      </c>
    </row>
    <row r="82" spans="1:2" x14ac:dyDescent="0.3">
      <c r="A82" s="13">
        <v>46063</v>
      </c>
      <c r="B82" s="11">
        <f>COUNTIF(Orders!$C$2:$C$301,A82)</f>
        <v>3</v>
      </c>
    </row>
    <row r="83" spans="1:2" x14ac:dyDescent="0.3">
      <c r="A83" s="13">
        <v>46064</v>
      </c>
      <c r="B83" s="11">
        <f>COUNTIF(Orders!$C$2:$C$301,A83)</f>
        <v>1</v>
      </c>
    </row>
    <row r="84" spans="1:2" x14ac:dyDescent="0.3">
      <c r="A84" s="13">
        <v>46065</v>
      </c>
      <c r="B84" s="11">
        <f>COUNTIF(Orders!$C$2:$C$301,A84)</f>
        <v>2</v>
      </c>
    </row>
    <row r="85" spans="1:2" x14ac:dyDescent="0.3">
      <c r="A85" s="13">
        <v>46067</v>
      </c>
      <c r="B85" s="11">
        <f>COUNTIF(Orders!$C$2:$C$301,A85)</f>
        <v>8</v>
      </c>
    </row>
    <row r="86" spans="1:2" x14ac:dyDescent="0.3">
      <c r="A86" s="13">
        <v>46068</v>
      </c>
      <c r="B86" s="11">
        <f>COUNTIF(Orders!$C$2:$C$301,A86)</f>
        <v>4</v>
      </c>
    </row>
    <row r="87" spans="1:2" x14ac:dyDescent="0.3">
      <c r="A87" s="13">
        <v>46069</v>
      </c>
      <c r="B87" s="11">
        <f>COUNTIF(Orders!$C$2:$C$301,A87)</f>
        <v>4</v>
      </c>
    </row>
    <row r="88" spans="1:2" x14ac:dyDescent="0.3">
      <c r="A88" s="13">
        <v>46070</v>
      </c>
      <c r="B88" s="11">
        <f>COUNTIF(Orders!$C$2:$C$301,A88)</f>
        <v>4</v>
      </c>
    </row>
    <row r="89" spans="1:2" x14ac:dyDescent="0.3">
      <c r="A89" s="13">
        <v>46071</v>
      </c>
      <c r="B89" s="11">
        <f>COUNTIF(Orders!$C$2:$C$301,A89)</f>
        <v>4</v>
      </c>
    </row>
    <row r="90" spans="1:2" x14ac:dyDescent="0.3">
      <c r="A90" s="13">
        <v>46072</v>
      </c>
      <c r="B90" s="11">
        <f>COUNTIF(Orders!$C$2:$C$301,A90)</f>
        <v>2</v>
      </c>
    </row>
    <row r="91" spans="1:2" x14ac:dyDescent="0.3">
      <c r="A91" s="13">
        <v>46073</v>
      </c>
      <c r="B91" s="11">
        <f>COUNTIF(Orders!$C$2:$C$301,A91)</f>
        <v>3</v>
      </c>
    </row>
    <row r="92" spans="1:2" x14ac:dyDescent="0.3">
      <c r="A92" s="13">
        <v>46074</v>
      </c>
      <c r="B92" s="11">
        <f>COUNTIF(Orders!$C$2:$C$301,A92)</f>
        <v>6</v>
      </c>
    </row>
    <row r="93" spans="1:2" x14ac:dyDescent="0.3">
      <c r="A93" s="13">
        <v>46075</v>
      </c>
      <c r="B93" s="11">
        <f>COUNTIF(Orders!$C$2:$C$301,A93)</f>
        <v>8</v>
      </c>
    </row>
    <row r="94" spans="1:2" x14ac:dyDescent="0.3">
      <c r="A94" s="13">
        <v>46076</v>
      </c>
      <c r="B94" s="11">
        <f>COUNTIF(Orders!$C$2:$C$301,A94)</f>
        <v>4</v>
      </c>
    </row>
    <row r="95" spans="1:2" x14ac:dyDescent="0.3">
      <c r="A95" s="13">
        <v>46077</v>
      </c>
      <c r="B95" s="11">
        <f>COUNTIF(Orders!$C$2:$C$301,A95)</f>
        <v>5</v>
      </c>
    </row>
    <row r="96" spans="1:2" x14ac:dyDescent="0.3">
      <c r="A96" s="13">
        <v>46078</v>
      </c>
      <c r="B96" s="11">
        <f>COUNTIF(Orders!$C$2:$C$301,A96)</f>
        <v>4</v>
      </c>
    </row>
    <row r="97" spans="1:2" x14ac:dyDescent="0.3">
      <c r="A97" s="13">
        <v>46079</v>
      </c>
      <c r="B97" s="11">
        <f>COUNTIF(Orders!$C$2:$C$301,A97)</f>
        <v>3</v>
      </c>
    </row>
    <row r="98" spans="1:2" x14ac:dyDescent="0.3">
      <c r="A98" s="13">
        <v>46080</v>
      </c>
      <c r="B98" s="11">
        <f>COUNTIF(Orders!$C$2:$C$301,A98)</f>
        <v>3</v>
      </c>
    </row>
    <row r="99" spans="1:2" x14ac:dyDescent="0.3">
      <c r="A99" s="13">
        <v>46081</v>
      </c>
      <c r="B99" s="11">
        <f>COUNTIF(Orders!$C$2:$C$301,A99)</f>
        <v>5</v>
      </c>
    </row>
    <row r="100" spans="1:2" x14ac:dyDescent="0.3">
      <c r="A100" s="13">
        <v>46082</v>
      </c>
      <c r="B100" s="11">
        <f>COUNTIF(Orders!$C$2:$C$301,A100)</f>
        <v>3</v>
      </c>
    </row>
    <row r="101" spans="1:2" x14ac:dyDescent="0.3">
      <c r="A101" s="13">
        <v>46083</v>
      </c>
      <c r="B101" s="11">
        <f>COUNTIF(Orders!$C$2:$C$301,A101)</f>
        <v>1</v>
      </c>
    </row>
    <row r="102" spans="1:2" x14ac:dyDescent="0.3">
      <c r="A102" s="13">
        <v>46084</v>
      </c>
      <c r="B102" s="11">
        <f>COUNTIF(Orders!$C$2:$C$301,A102)</f>
        <v>5</v>
      </c>
    </row>
    <row r="103" spans="1:2" x14ac:dyDescent="0.3">
      <c r="A103" s="13">
        <v>46085</v>
      </c>
      <c r="B103" s="11">
        <f>COUNTIF(Orders!$C$2:$C$301,A103)</f>
        <v>4</v>
      </c>
    </row>
    <row r="104" spans="1:2" x14ac:dyDescent="0.3">
      <c r="A104" s="13">
        <v>46086</v>
      </c>
      <c r="B104" s="11">
        <f>COUNTIF(Orders!$C$2:$C$301,A104)</f>
        <v>2</v>
      </c>
    </row>
    <row r="105" spans="1:2" x14ac:dyDescent="0.3">
      <c r="A105" s="13">
        <v>46087</v>
      </c>
      <c r="B105" s="11">
        <f>COUNTIF(Orders!$C$2:$C$301,A105)</f>
        <v>1</v>
      </c>
    </row>
    <row r="106" spans="1:2" x14ac:dyDescent="0.3">
      <c r="A106" s="13">
        <v>46089</v>
      </c>
      <c r="B106" s="11">
        <f>COUNTIF(Orders!$C$2:$C$301,A106)</f>
        <v>5</v>
      </c>
    </row>
    <row r="107" spans="1:2" x14ac:dyDescent="0.3">
      <c r="A107" s="13">
        <v>46090</v>
      </c>
      <c r="B107" s="11">
        <f>COUNTIF(Orders!$C$2:$C$301,A107)</f>
        <v>1</v>
      </c>
    </row>
    <row r="108" spans="1:2" x14ac:dyDescent="0.3">
      <c r="A108" s="13">
        <v>46091</v>
      </c>
      <c r="B108" s="11">
        <f>COUNTIF(Orders!$C$2:$C$301,A108)</f>
        <v>7</v>
      </c>
    </row>
    <row r="109" spans="1:2" x14ac:dyDescent="0.3">
      <c r="A109" s="13">
        <v>46092</v>
      </c>
      <c r="B109" s="11">
        <f>COUNTIF(Orders!$C$2:$C$301,A109)</f>
        <v>4</v>
      </c>
    </row>
    <row r="110" spans="1:2" x14ac:dyDescent="0.3">
      <c r="A110" s="13">
        <v>46093</v>
      </c>
      <c r="B110" s="11">
        <f>COUNTIF(Orders!$C$2:$C$301,A110)</f>
        <v>1</v>
      </c>
    </row>
    <row r="111" spans="1:2" x14ac:dyDescent="0.3">
      <c r="A111" s="13">
        <v>46094</v>
      </c>
      <c r="B111" s="11">
        <f>COUNTIF(Orders!$C$2:$C$301,A111)</f>
        <v>2</v>
      </c>
    </row>
    <row r="112" spans="1:2" x14ac:dyDescent="0.3">
      <c r="A112" s="13">
        <v>46095</v>
      </c>
      <c r="B112" s="11">
        <f>COUNTIF(Orders!$C$2:$C$301,A112)</f>
        <v>3</v>
      </c>
    </row>
    <row r="113" spans="1:2" x14ac:dyDescent="0.3">
      <c r="A113" s="13">
        <v>46096</v>
      </c>
      <c r="B113" s="11">
        <f>COUNTIF(Orders!$C$2:$C$301,A113)</f>
        <v>8</v>
      </c>
    </row>
    <row r="114" spans="1:2" x14ac:dyDescent="0.3">
      <c r="A114" s="13">
        <v>46097</v>
      </c>
      <c r="B114" s="11">
        <f>COUNTIF(Orders!$C$2:$C$301,A114)</f>
        <v>4</v>
      </c>
    </row>
    <row r="115" spans="1:2" x14ac:dyDescent="0.3">
      <c r="A115" s="13">
        <v>46099</v>
      </c>
      <c r="B115" s="11">
        <f>COUNTIF(Orders!$C$2:$C$301,A115)</f>
        <v>3</v>
      </c>
    </row>
    <row r="116" spans="1:2" x14ac:dyDescent="0.3">
      <c r="A116" s="13">
        <v>46100</v>
      </c>
      <c r="B116" s="11">
        <f>COUNTIF(Orders!$C$2:$C$301,A116)</f>
        <v>3</v>
      </c>
    </row>
    <row r="117" spans="1:2" x14ac:dyDescent="0.3">
      <c r="A117" s="13">
        <v>46101</v>
      </c>
      <c r="B117" s="11">
        <f>COUNTIF(Orders!$C$2:$C$301,A117)</f>
        <v>1</v>
      </c>
    </row>
    <row r="118" spans="1:2" x14ac:dyDescent="0.3">
      <c r="A118" s="13">
        <v>46102</v>
      </c>
      <c r="B118" s="11">
        <f>COUNTIF(Orders!$C$2:$C$301,A118)</f>
        <v>5</v>
      </c>
    </row>
    <row r="119" spans="1:2" x14ac:dyDescent="0.3">
      <c r="A119" s="13">
        <v>46103</v>
      </c>
      <c r="B119" s="11">
        <f>COUNTIF(Orders!$C$2:$C$301,A119)</f>
        <v>6</v>
      </c>
    </row>
    <row r="120" spans="1:2" x14ac:dyDescent="0.3">
      <c r="A120" s="13">
        <v>46104</v>
      </c>
      <c r="B120" s="11">
        <f>COUNTIF(Orders!$C$2:$C$301,A120)</f>
        <v>3</v>
      </c>
    </row>
    <row r="121" spans="1:2" x14ac:dyDescent="0.3">
      <c r="A121" s="13">
        <v>46105</v>
      </c>
      <c r="B121" s="11">
        <f>COUNTIF(Orders!$C$2:$C$301,A121)</f>
        <v>3</v>
      </c>
    </row>
    <row r="122" spans="1:2" x14ac:dyDescent="0.3">
      <c r="A122" s="13">
        <v>46106</v>
      </c>
      <c r="B122" s="11">
        <f>COUNTIF(Orders!$C$2:$C$301,A122)</f>
        <v>2</v>
      </c>
    </row>
    <row r="123" spans="1:2" x14ac:dyDescent="0.3">
      <c r="A123" s="13">
        <v>46107</v>
      </c>
      <c r="B123" s="11">
        <f>COUNTIF(Orders!$C$2:$C$301,A123)</f>
        <v>1</v>
      </c>
    </row>
    <row r="124" spans="1:2" x14ac:dyDescent="0.3">
      <c r="A124" s="13">
        <v>46108</v>
      </c>
      <c r="B124" s="11">
        <f>COUNTIF(Orders!$C$2:$C$301,A124)</f>
        <v>2</v>
      </c>
    </row>
    <row r="125" spans="1:2" x14ac:dyDescent="0.3">
      <c r="A125" s="13">
        <v>46109</v>
      </c>
      <c r="B125" s="11">
        <f>COUNTIF(Orders!$C$2:$C$301,A125)</f>
        <v>4</v>
      </c>
    </row>
    <row r="126" spans="1:2" x14ac:dyDescent="0.3">
      <c r="A126" s="13">
        <v>46110</v>
      </c>
      <c r="B126" s="11">
        <f>COUNTIF(Orders!$C$2:$C$301,A126)</f>
        <v>3</v>
      </c>
    </row>
    <row r="127" spans="1:2" x14ac:dyDescent="0.3">
      <c r="A127" s="13">
        <v>46112</v>
      </c>
      <c r="B127" s="11">
        <f>COUNTIF(Orders!$C$2:$C$301,A127)</f>
        <v>1</v>
      </c>
    </row>
    <row r="128" spans="1:2" ht="17.399999999999999" x14ac:dyDescent="0.3">
      <c r="A128" s="10" t="s">
        <v>492</v>
      </c>
    </row>
    <row r="129" spans="1:2" x14ac:dyDescent="0.3">
      <c r="A129" s="6" t="s">
        <v>4</v>
      </c>
      <c r="B129" s="6" t="s">
        <v>491</v>
      </c>
    </row>
    <row r="130" spans="1:2" x14ac:dyDescent="0.3">
      <c r="A130" s="11" t="s">
        <v>15</v>
      </c>
      <c r="B130" s="14">
        <f>COUNTIF(Orders!$B$2:$B$301,A130)</f>
        <v>56</v>
      </c>
    </row>
    <row r="131" spans="1:2" x14ac:dyDescent="0.3">
      <c r="A131" s="11" t="s">
        <v>22</v>
      </c>
      <c r="B131" s="14">
        <f>COUNTIF(Orders!$B$2:$B$301,A131)</f>
        <v>22</v>
      </c>
    </row>
    <row r="132" spans="1:2" x14ac:dyDescent="0.3">
      <c r="A132" s="11" t="s">
        <v>28</v>
      </c>
      <c r="B132" s="14">
        <f>COUNTIF(Orders!$B$2:$B$301,A132)</f>
        <v>22</v>
      </c>
    </row>
    <row r="133" spans="1:2" x14ac:dyDescent="0.3">
      <c r="A133" s="11" t="s">
        <v>34</v>
      </c>
      <c r="B133" s="14">
        <f>COUNTIF(Orders!$B$2:$B$301,A133)</f>
        <v>30</v>
      </c>
    </row>
    <row r="134" spans="1:2" x14ac:dyDescent="0.3">
      <c r="A134" s="11" t="s">
        <v>51</v>
      </c>
      <c r="B134" s="14">
        <f>COUNTIF(Orders!$B$2:$B$301,A134)</f>
        <v>15</v>
      </c>
    </row>
    <row r="135" spans="1:2" x14ac:dyDescent="0.3">
      <c r="A135" s="11" t="s">
        <v>57</v>
      </c>
      <c r="B135" s="14">
        <f>COUNTIF(Orders!$B$2:$B$301,A135)</f>
        <v>14</v>
      </c>
    </row>
    <row r="136" spans="1:2" x14ac:dyDescent="0.3">
      <c r="A136" s="11" t="s">
        <v>63</v>
      </c>
      <c r="B136" s="14">
        <f>COUNTIF(Orders!$B$2:$B$301,A136)</f>
        <v>27</v>
      </c>
    </row>
    <row r="137" spans="1:2" x14ac:dyDescent="0.3">
      <c r="A137" s="11" t="s">
        <v>70</v>
      </c>
      <c r="B137" s="14">
        <f>COUNTIF(Orders!$B$2:$B$301,A137)</f>
        <v>20</v>
      </c>
    </row>
    <row r="138" spans="1:2" x14ac:dyDescent="0.3">
      <c r="A138" s="11" t="s">
        <v>76</v>
      </c>
      <c r="B138" s="14">
        <f>COUNTIF(Orders!$B$2:$B$301,A138)</f>
        <v>19</v>
      </c>
    </row>
    <row r="139" spans="1:2" x14ac:dyDescent="0.3">
      <c r="A139" s="11" t="s">
        <v>91</v>
      </c>
      <c r="B139" s="14">
        <f>COUNTIF(Orders!$B$2:$B$301,A139)</f>
        <v>26</v>
      </c>
    </row>
    <row r="140" spans="1:2" x14ac:dyDescent="0.3">
      <c r="A140" s="11" t="s">
        <v>121</v>
      </c>
      <c r="B140" s="14">
        <f>COUNTIF(Orders!$B$2:$B$301,A140)</f>
        <v>49</v>
      </c>
    </row>
    <row r="142" spans="1:2" ht="17.399999999999999" x14ac:dyDescent="0.3">
      <c r="A142" s="10" t="s">
        <v>493</v>
      </c>
    </row>
    <row r="143" spans="1:2" x14ac:dyDescent="0.3">
      <c r="A143" s="15">
        <f>COUNTIF(Orders!$D$2:$D$301,"Delivered")/COUNTA(Orders!$A$2:$A$301)</f>
        <v>0.73</v>
      </c>
    </row>
  </sheetData>
  <conditionalFormatting sqref="B130:B140">
    <cfRule type="colorScale" priority="2">
      <colorScale>
        <cfvo type="min"/>
        <cfvo type="max"/>
        <color rgb="FFFFFFFF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Orders</vt:lpstr>
      <vt:lpstr>Customers</vt:lpstr>
      <vt:lpstr>Restaurants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vansh bhojani</cp:lastModifiedBy>
  <cp:revision>1</cp:revision>
  <dcterms:created xsi:type="dcterms:W3CDTF">2026-08-28T06:32:55Z</dcterms:created>
  <dcterms:modified xsi:type="dcterms:W3CDTF">2026-08-28T06:38:23Z</dcterms:modified>
  <dc:language>en-US</dc:language>
</cp:coreProperties>
</file>